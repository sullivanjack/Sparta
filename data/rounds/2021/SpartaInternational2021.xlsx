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mes\OneDrive\Fantasy football\"/>
    </mc:Choice>
  </mc:AlternateContent>
  <bookViews>
    <workbookView xWindow="0" yWindow="0" windowWidth="23040" windowHeight="9396" activeTab="2"/>
  </bookViews>
  <sheets>
    <sheet name="day 1" sheetId="1" r:id="rId1"/>
    <sheet name="2021 day 2" sheetId="9" r:id="rId2"/>
    <sheet name="2021 day 3" sheetId="10" r:id="rId3"/>
    <sheet name="Sheet2" sheetId="8" r:id="rId4"/>
    <sheet name="Sheet1" sheetId="7" r:id="rId5"/>
    <sheet name="day 2" sheetId="5" r:id="rId6"/>
    <sheet name="day 3" sheetId="6" r:id="rId7"/>
    <sheet name="Rules" sheetId="4" r:id="rId8"/>
  </sheets>
  <definedNames>
    <definedName name="_xlnm._FilterDatabase" localSheetId="4" hidden="1">Sheet1!$C$1:$F$1</definedName>
  </definedNames>
  <calcPr calcId="15251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21" i="10" l="1"/>
  <c r="Y121" i="10"/>
  <c r="X121" i="10"/>
  <c r="W121" i="10"/>
  <c r="V121" i="10"/>
  <c r="Q121" i="10"/>
  <c r="L121" i="10"/>
  <c r="E121" i="10"/>
  <c r="B121" i="10"/>
  <c r="AA120" i="10"/>
  <c r="Y120" i="10"/>
  <c r="U120" i="10"/>
  <c r="T120" i="10"/>
  <c r="S120" i="10"/>
  <c r="R120" i="10"/>
  <c r="Q120" i="10"/>
  <c r="P120" i="10"/>
  <c r="O120" i="10"/>
  <c r="N120" i="10"/>
  <c r="V120" i="10" s="1"/>
  <c r="M120" i="10"/>
  <c r="K120" i="10"/>
  <c r="J120" i="10"/>
  <c r="I120" i="10"/>
  <c r="H120" i="10"/>
  <c r="G120" i="10"/>
  <c r="F120" i="10"/>
  <c r="E120" i="10"/>
  <c r="D120" i="10"/>
  <c r="C120" i="10"/>
  <c r="AA119" i="10"/>
  <c r="Y119" i="10"/>
  <c r="U119" i="10"/>
  <c r="T119" i="10"/>
  <c r="S119" i="10"/>
  <c r="R119" i="10"/>
  <c r="Q119" i="10"/>
  <c r="P119" i="10"/>
  <c r="O119" i="10"/>
  <c r="N119" i="10"/>
  <c r="V119" i="10" s="1"/>
  <c r="W119" i="10" s="1"/>
  <c r="X119" i="10" s="1"/>
  <c r="M119" i="10"/>
  <c r="K119" i="10"/>
  <c r="J119" i="10"/>
  <c r="I119" i="10"/>
  <c r="H119" i="10"/>
  <c r="G119" i="10"/>
  <c r="F119" i="10"/>
  <c r="E119" i="10"/>
  <c r="D119" i="10"/>
  <c r="C119" i="10"/>
  <c r="L119" i="10" s="1"/>
  <c r="AA118" i="10"/>
  <c r="Y118" i="10"/>
  <c r="U118" i="10"/>
  <c r="T118" i="10"/>
  <c r="S118" i="10"/>
  <c r="R118" i="10"/>
  <c r="Q118" i="10"/>
  <c r="P118" i="10"/>
  <c r="O118" i="10"/>
  <c r="N118" i="10"/>
  <c r="M118" i="10"/>
  <c r="K118" i="10"/>
  <c r="J118" i="10"/>
  <c r="I118" i="10"/>
  <c r="H118" i="10"/>
  <c r="G118" i="10"/>
  <c r="F118" i="10"/>
  <c r="E118" i="10"/>
  <c r="D118" i="10"/>
  <c r="L118" i="10" s="1"/>
  <c r="C118" i="10"/>
  <c r="AA117" i="10"/>
  <c r="Y117" i="10"/>
  <c r="U117" i="10"/>
  <c r="T117" i="10"/>
  <c r="S117" i="10"/>
  <c r="R117" i="10"/>
  <c r="Q117" i="10"/>
  <c r="P117" i="10"/>
  <c r="O117" i="10"/>
  <c r="N117" i="10"/>
  <c r="M117" i="10"/>
  <c r="V117" i="10" s="1"/>
  <c r="W117" i="10" s="1"/>
  <c r="X117" i="10" s="1"/>
  <c r="K117" i="10"/>
  <c r="J117" i="10"/>
  <c r="I117" i="10"/>
  <c r="H117" i="10"/>
  <c r="G117" i="10"/>
  <c r="F117" i="10"/>
  <c r="E117" i="10"/>
  <c r="D117" i="10"/>
  <c r="L117" i="10" s="1"/>
  <c r="C117" i="10"/>
  <c r="AA116" i="10"/>
  <c r="Y116" i="10"/>
  <c r="U116" i="10"/>
  <c r="T116" i="10"/>
  <c r="S116" i="10"/>
  <c r="R116" i="10"/>
  <c r="Q116" i="10"/>
  <c r="P116" i="10"/>
  <c r="O116" i="10"/>
  <c r="N116" i="10"/>
  <c r="V116" i="10" s="1"/>
  <c r="W116" i="10" s="1"/>
  <c r="X116" i="10" s="1"/>
  <c r="M116" i="10"/>
  <c r="K116" i="10"/>
  <c r="J116" i="10"/>
  <c r="I116" i="10"/>
  <c r="H116" i="10"/>
  <c r="G116" i="10"/>
  <c r="F116" i="10"/>
  <c r="E116" i="10"/>
  <c r="D116" i="10"/>
  <c r="C116" i="10"/>
  <c r="L116" i="10" s="1"/>
  <c r="AA115" i="10"/>
  <c r="Y115" i="10"/>
  <c r="U115" i="10"/>
  <c r="T115" i="10"/>
  <c r="S115" i="10"/>
  <c r="R115" i="10"/>
  <c r="Q115" i="10"/>
  <c r="P115" i="10"/>
  <c r="O115" i="10"/>
  <c r="N115" i="10"/>
  <c r="M115" i="10"/>
  <c r="K115" i="10"/>
  <c r="J115" i="10"/>
  <c r="I115" i="10"/>
  <c r="H115" i="10"/>
  <c r="G115" i="10"/>
  <c r="F115" i="10"/>
  <c r="E115" i="10"/>
  <c r="D115" i="10"/>
  <c r="L115" i="10" s="1"/>
  <c r="C115" i="10"/>
  <c r="AA114" i="10"/>
  <c r="Y114" i="10"/>
  <c r="U114" i="10"/>
  <c r="T114" i="10"/>
  <c r="S114" i="10"/>
  <c r="R114" i="10"/>
  <c r="Q114" i="10"/>
  <c r="P114" i="10"/>
  <c r="O114" i="10"/>
  <c r="N114" i="10"/>
  <c r="V114" i="10" s="1"/>
  <c r="M114" i="10"/>
  <c r="K114" i="10"/>
  <c r="J114" i="10"/>
  <c r="I114" i="10"/>
  <c r="H114" i="10"/>
  <c r="G114" i="10"/>
  <c r="F114" i="10"/>
  <c r="E114" i="10"/>
  <c r="D114" i="10"/>
  <c r="C114" i="10"/>
  <c r="AA113" i="10"/>
  <c r="Y113" i="10"/>
  <c r="U113" i="10"/>
  <c r="T113" i="10"/>
  <c r="S113" i="10"/>
  <c r="R113" i="10"/>
  <c r="Q113" i="10"/>
  <c r="P113" i="10"/>
  <c r="O113" i="10"/>
  <c r="N113" i="10"/>
  <c r="M113" i="10"/>
  <c r="V113" i="10" s="1"/>
  <c r="K113" i="10"/>
  <c r="J113" i="10"/>
  <c r="I113" i="10"/>
  <c r="H113" i="10"/>
  <c r="G113" i="10"/>
  <c r="F113" i="10"/>
  <c r="E113" i="10"/>
  <c r="D113" i="10"/>
  <c r="L113" i="10" s="1"/>
  <c r="C113" i="10"/>
  <c r="AA112" i="10"/>
  <c r="Y112" i="10"/>
  <c r="U112" i="10"/>
  <c r="T112" i="10"/>
  <c r="S112" i="10"/>
  <c r="R112" i="10"/>
  <c r="Q112" i="10"/>
  <c r="P112" i="10"/>
  <c r="O112" i="10"/>
  <c r="N112" i="10"/>
  <c r="V112" i="10" s="1"/>
  <c r="M112" i="10"/>
  <c r="K112" i="10"/>
  <c r="J112" i="10"/>
  <c r="I112" i="10"/>
  <c r="H112" i="10"/>
  <c r="G112" i="10"/>
  <c r="F112" i="10"/>
  <c r="E112" i="10"/>
  <c r="D112" i="10"/>
  <c r="C112" i="10"/>
  <c r="L112" i="10" s="1"/>
  <c r="AA111" i="10"/>
  <c r="Y111" i="10"/>
  <c r="U111" i="10"/>
  <c r="T111" i="10"/>
  <c r="S111" i="10"/>
  <c r="R111" i="10"/>
  <c r="Q111" i="10"/>
  <c r="P111" i="10"/>
  <c r="O111" i="10"/>
  <c r="N111" i="10"/>
  <c r="M111" i="10"/>
  <c r="V111" i="10" s="1"/>
  <c r="K111" i="10"/>
  <c r="J111" i="10"/>
  <c r="I111" i="10"/>
  <c r="H111" i="10"/>
  <c r="G111" i="10"/>
  <c r="F111" i="10"/>
  <c r="E111" i="10"/>
  <c r="D111" i="10"/>
  <c r="L111" i="10" s="1"/>
  <c r="C111" i="10"/>
  <c r="AA110" i="10"/>
  <c r="Y110" i="10"/>
  <c r="U110" i="10"/>
  <c r="T110" i="10"/>
  <c r="S110" i="10"/>
  <c r="R110" i="10"/>
  <c r="Q110" i="10"/>
  <c r="P110" i="10"/>
  <c r="O110" i="10"/>
  <c r="K110" i="10"/>
  <c r="J110" i="10"/>
  <c r="I110" i="10"/>
  <c r="G110" i="10"/>
  <c r="F110" i="10"/>
  <c r="E110" i="10"/>
  <c r="D110" i="10"/>
  <c r="C110" i="10"/>
  <c r="L110" i="10" s="1"/>
  <c r="AA109" i="10"/>
  <c r="Y109" i="10"/>
  <c r="U109" i="10"/>
  <c r="T109" i="10"/>
  <c r="S109" i="10"/>
  <c r="R109" i="10"/>
  <c r="Q109" i="10"/>
  <c r="P109" i="10"/>
  <c r="O109" i="10"/>
  <c r="K109" i="10"/>
  <c r="J109" i="10"/>
  <c r="I109" i="10"/>
  <c r="H109" i="10"/>
  <c r="G109" i="10"/>
  <c r="F109" i="10"/>
  <c r="E109" i="10"/>
  <c r="D109" i="10"/>
  <c r="L109" i="10" s="1"/>
  <c r="C109" i="10"/>
  <c r="AA108" i="10"/>
  <c r="Y108" i="10"/>
  <c r="U108" i="10"/>
  <c r="T108" i="10"/>
  <c r="S108" i="10"/>
  <c r="R108" i="10"/>
  <c r="Q108" i="10"/>
  <c r="P108" i="10"/>
  <c r="M108" i="10"/>
  <c r="K108" i="10"/>
  <c r="J108" i="10"/>
  <c r="I108" i="10"/>
  <c r="H108" i="10"/>
  <c r="G108" i="10"/>
  <c r="F108" i="10"/>
  <c r="E108" i="10"/>
  <c r="D108" i="10"/>
  <c r="C108" i="10"/>
  <c r="AA107" i="10"/>
  <c r="Y107" i="10"/>
  <c r="U107" i="10"/>
  <c r="T107" i="10"/>
  <c r="S107" i="10"/>
  <c r="R107" i="10"/>
  <c r="Q107" i="10"/>
  <c r="P107" i="10"/>
  <c r="M107" i="10"/>
  <c r="K107" i="10"/>
  <c r="J107" i="10"/>
  <c r="I107" i="10"/>
  <c r="G107" i="10"/>
  <c r="F107" i="10"/>
  <c r="E107" i="10"/>
  <c r="D107" i="10"/>
  <c r="AA106" i="10"/>
  <c r="Y106" i="10"/>
  <c r="U106" i="10"/>
  <c r="T106" i="10"/>
  <c r="S106" i="10"/>
  <c r="R106" i="10"/>
  <c r="Q106" i="10"/>
  <c r="P106" i="10"/>
  <c r="K106" i="10"/>
  <c r="J106" i="10"/>
  <c r="I106" i="10"/>
  <c r="G106" i="10"/>
  <c r="F106" i="10"/>
  <c r="E106" i="10"/>
  <c r="D106" i="10"/>
  <c r="AA105" i="10"/>
  <c r="Y105" i="10"/>
  <c r="U105" i="10"/>
  <c r="T105" i="10"/>
  <c r="R105" i="10"/>
  <c r="Q105" i="10"/>
  <c r="P105" i="10"/>
  <c r="O105" i="10"/>
  <c r="M105" i="10"/>
  <c r="K105" i="10"/>
  <c r="J105" i="10"/>
  <c r="H105" i="10"/>
  <c r="G105" i="10"/>
  <c r="F105" i="10"/>
  <c r="E105" i="10"/>
  <c r="D105" i="10"/>
  <c r="C105" i="10"/>
  <c r="AA104" i="10"/>
  <c r="Y104" i="10"/>
  <c r="U104" i="10"/>
  <c r="T104" i="10"/>
  <c r="S104" i="10"/>
  <c r="R104" i="10"/>
  <c r="Q104" i="10"/>
  <c r="P104" i="10"/>
  <c r="O104" i="10"/>
  <c r="N104" i="10"/>
  <c r="V104" i="10" s="1"/>
  <c r="K104" i="10"/>
  <c r="J104" i="10"/>
  <c r="I104" i="10"/>
  <c r="G104" i="10"/>
  <c r="F104" i="10"/>
  <c r="E104" i="10"/>
  <c r="D104" i="10"/>
  <c r="C104" i="10"/>
  <c r="AA103" i="10"/>
  <c r="Y103" i="10"/>
  <c r="U103" i="10"/>
  <c r="T103" i="10"/>
  <c r="S103" i="10"/>
  <c r="R103" i="10"/>
  <c r="Q103" i="10"/>
  <c r="P103" i="10"/>
  <c r="O103" i="10"/>
  <c r="N103" i="10"/>
  <c r="K103" i="10"/>
  <c r="J103" i="10"/>
  <c r="I103" i="10"/>
  <c r="H103" i="10"/>
  <c r="G103" i="10"/>
  <c r="F103" i="10"/>
  <c r="E103" i="10"/>
  <c r="D103" i="10"/>
  <c r="C103" i="10"/>
  <c r="AA102" i="10"/>
  <c r="Y102" i="10"/>
  <c r="U102" i="10"/>
  <c r="T102" i="10"/>
  <c r="S102" i="10"/>
  <c r="R102" i="10"/>
  <c r="Q102" i="10"/>
  <c r="P102" i="10"/>
  <c r="O102" i="10"/>
  <c r="N102" i="10"/>
  <c r="M102" i="10"/>
  <c r="V102" i="10" s="1"/>
  <c r="K102" i="10"/>
  <c r="J102" i="10"/>
  <c r="I102" i="10"/>
  <c r="H102" i="10"/>
  <c r="G102" i="10"/>
  <c r="F102" i="10"/>
  <c r="E102" i="10"/>
  <c r="D102" i="10"/>
  <c r="C102" i="10"/>
  <c r="AA101" i="10"/>
  <c r="Y101" i="10"/>
  <c r="U101" i="10"/>
  <c r="T101" i="10"/>
  <c r="S101" i="10"/>
  <c r="R101" i="10"/>
  <c r="Q101" i="10"/>
  <c r="P101" i="10"/>
  <c r="O101" i="10"/>
  <c r="M101" i="10"/>
  <c r="K101" i="10"/>
  <c r="J101" i="10"/>
  <c r="I101" i="10"/>
  <c r="G101" i="10"/>
  <c r="F101" i="10"/>
  <c r="E101" i="10"/>
  <c r="D101" i="10"/>
  <c r="C101" i="10"/>
  <c r="AA100" i="10"/>
  <c r="Y100" i="10"/>
  <c r="U100" i="10"/>
  <c r="T100" i="10"/>
  <c r="S100" i="10"/>
  <c r="R100" i="10"/>
  <c r="Q100" i="10"/>
  <c r="P100" i="10"/>
  <c r="O100" i="10"/>
  <c r="N100" i="10"/>
  <c r="M100" i="10"/>
  <c r="V100" i="10" s="1"/>
  <c r="W100" i="10" s="1"/>
  <c r="X100" i="10" s="1"/>
  <c r="K100" i="10"/>
  <c r="J100" i="10"/>
  <c r="I100" i="10"/>
  <c r="H100" i="10"/>
  <c r="G100" i="10"/>
  <c r="F100" i="10"/>
  <c r="E100" i="10"/>
  <c r="D100" i="10"/>
  <c r="C100" i="10"/>
  <c r="L100" i="10" s="1"/>
  <c r="AA99" i="10"/>
  <c r="Y99" i="10"/>
  <c r="U99" i="10"/>
  <c r="T99" i="10"/>
  <c r="S99" i="10"/>
  <c r="R99" i="10"/>
  <c r="Q99" i="10"/>
  <c r="P99" i="10"/>
  <c r="O99" i="10"/>
  <c r="N99" i="10"/>
  <c r="M99" i="10"/>
  <c r="V99" i="10" s="1"/>
  <c r="K99" i="10"/>
  <c r="J99" i="10"/>
  <c r="I99" i="10"/>
  <c r="H99" i="10"/>
  <c r="G99" i="10"/>
  <c r="F99" i="10"/>
  <c r="E99" i="10"/>
  <c r="D99" i="10"/>
  <c r="L99" i="10" s="1"/>
  <c r="C99" i="10"/>
  <c r="U97" i="10"/>
  <c r="U121" i="10" s="1"/>
  <c r="T97" i="10"/>
  <c r="T121" i="10" s="1"/>
  <c r="S97" i="10"/>
  <c r="R97" i="10"/>
  <c r="Q97" i="10"/>
  <c r="P97" i="10"/>
  <c r="P121" i="10" s="1"/>
  <c r="K97" i="10"/>
  <c r="J97" i="10"/>
  <c r="J121" i="10" s="1"/>
  <c r="G97" i="10"/>
  <c r="F97" i="10"/>
  <c r="F121" i="10" s="1"/>
  <c r="E97" i="10"/>
  <c r="D97" i="10"/>
  <c r="D121" i="10" s="1"/>
  <c r="C97" i="10"/>
  <c r="B94" i="10"/>
  <c r="B118" i="10" s="1"/>
  <c r="B93" i="10"/>
  <c r="B117" i="10" s="1"/>
  <c r="B88" i="10"/>
  <c r="B112" i="10" s="1"/>
  <c r="O86" i="10"/>
  <c r="M86" i="10"/>
  <c r="M110" i="10" s="1"/>
  <c r="H86" i="10"/>
  <c r="M85" i="10"/>
  <c r="H85" i="10"/>
  <c r="N84" i="10"/>
  <c r="N86" i="10" s="1"/>
  <c r="N110" i="10" s="1"/>
  <c r="B84" i="10"/>
  <c r="B108" i="10" s="1"/>
  <c r="O83" i="10"/>
  <c r="O107" i="10" s="1"/>
  <c r="N83" i="10"/>
  <c r="N107" i="10" s="1"/>
  <c r="B83" i="10"/>
  <c r="B107" i="10" s="1"/>
  <c r="O82" i="10"/>
  <c r="M82" i="10"/>
  <c r="H82" i="10"/>
  <c r="H106" i="10" s="1"/>
  <c r="B82" i="10"/>
  <c r="B106" i="10" s="1"/>
  <c r="N81" i="10"/>
  <c r="N105" i="10" s="1"/>
  <c r="M81" i="10"/>
  <c r="M84" i="10" s="1"/>
  <c r="I81" i="10"/>
  <c r="B81" i="10"/>
  <c r="B105" i="10" s="1"/>
  <c r="M80" i="10"/>
  <c r="M79" i="10"/>
  <c r="N78" i="10"/>
  <c r="M78" i="10"/>
  <c r="N77" i="10"/>
  <c r="H77" i="10"/>
  <c r="H80" i="10" s="1"/>
  <c r="H83" i="10" s="1"/>
  <c r="B76" i="10"/>
  <c r="B100" i="10" s="1"/>
  <c r="U73" i="10"/>
  <c r="T73" i="10"/>
  <c r="R73" i="10"/>
  <c r="R121" i="10" s="1"/>
  <c r="Q73" i="10"/>
  <c r="P73" i="10"/>
  <c r="O73" i="10"/>
  <c r="N73" i="10"/>
  <c r="K73" i="10"/>
  <c r="J73" i="10"/>
  <c r="I73" i="10"/>
  <c r="G73" i="10"/>
  <c r="F73" i="10"/>
  <c r="E73" i="10"/>
  <c r="D73" i="10"/>
  <c r="B71" i="10"/>
  <c r="B95" i="10" s="1"/>
  <c r="B119" i="10" s="1"/>
  <c r="C70" i="10"/>
  <c r="B70" i="10"/>
  <c r="B69" i="10"/>
  <c r="B66" i="10"/>
  <c r="B90" i="10" s="1"/>
  <c r="B114" i="10" s="1"/>
  <c r="B65" i="10"/>
  <c r="B89" i="10" s="1"/>
  <c r="B113" i="10" s="1"/>
  <c r="B64" i="10"/>
  <c r="H62" i="10"/>
  <c r="H110" i="10" s="1"/>
  <c r="B62" i="10"/>
  <c r="B86" i="10" s="1"/>
  <c r="B110" i="10" s="1"/>
  <c r="H61" i="10"/>
  <c r="B60" i="10"/>
  <c r="C58" i="10"/>
  <c r="C59" i="10" s="1"/>
  <c r="C107" i="10" s="1"/>
  <c r="S57" i="10"/>
  <c r="S73" i="10" s="1"/>
  <c r="M56" i="10"/>
  <c r="M104" i="10" s="1"/>
  <c r="B56" i="10"/>
  <c r="B80" i="10" s="1"/>
  <c r="B104" i="10" s="1"/>
  <c r="M55" i="10"/>
  <c r="M103" i="10" s="1"/>
  <c r="V103" i="10" s="1"/>
  <c r="M54" i="10"/>
  <c r="B54" i="10"/>
  <c r="B78" i="10" s="1"/>
  <c r="B102" i="10" s="1"/>
  <c r="H53" i="10"/>
  <c r="AB50" i="10"/>
  <c r="AA49" i="10"/>
  <c r="AC49" i="10" s="1"/>
  <c r="Z49" i="10"/>
  <c r="Y49" i="10"/>
  <c r="X49" i="10"/>
  <c r="U49" i="10"/>
  <c r="T49" i="10"/>
  <c r="S49" i="10"/>
  <c r="R49" i="10"/>
  <c r="Q49" i="10"/>
  <c r="P49" i="10"/>
  <c r="O49" i="10"/>
  <c r="N49" i="10"/>
  <c r="M49" i="10"/>
  <c r="K49" i="10"/>
  <c r="J49" i="10"/>
  <c r="I49" i="10"/>
  <c r="H49" i="10"/>
  <c r="G49" i="10"/>
  <c r="F49" i="10"/>
  <c r="E49" i="10"/>
  <c r="D49" i="10"/>
  <c r="C49" i="10"/>
  <c r="B49" i="10"/>
  <c r="B72" i="10" s="1"/>
  <c r="B96" i="10" s="1"/>
  <c r="B120" i="10" s="1"/>
  <c r="Z48" i="10"/>
  <c r="AA48" i="10" s="1"/>
  <c r="AC48" i="10" s="1"/>
  <c r="U48" i="10"/>
  <c r="T48" i="10"/>
  <c r="S48" i="10"/>
  <c r="R48" i="10"/>
  <c r="Q48" i="10"/>
  <c r="P48" i="10"/>
  <c r="O48" i="10"/>
  <c r="N48" i="10"/>
  <c r="M48" i="10"/>
  <c r="K48" i="10"/>
  <c r="J48" i="10"/>
  <c r="I48" i="10"/>
  <c r="H48" i="10"/>
  <c r="G48" i="10"/>
  <c r="F48" i="10"/>
  <c r="E48" i="10"/>
  <c r="D48" i="10"/>
  <c r="C48" i="10"/>
  <c r="B48" i="10"/>
  <c r="AA47" i="10"/>
  <c r="AC47" i="10" s="1"/>
  <c r="Z47" i="10"/>
  <c r="U47" i="10"/>
  <c r="T47" i="10"/>
  <c r="S47" i="10"/>
  <c r="R47" i="10"/>
  <c r="Q47" i="10"/>
  <c r="P47" i="10"/>
  <c r="O47" i="10"/>
  <c r="N47" i="10"/>
  <c r="M47" i="10"/>
  <c r="K47" i="10"/>
  <c r="J47" i="10"/>
  <c r="I47" i="10"/>
  <c r="H47" i="10"/>
  <c r="G47" i="10"/>
  <c r="F47" i="10"/>
  <c r="E47" i="10"/>
  <c r="D47" i="10"/>
  <c r="C47" i="10"/>
  <c r="L47" i="10" s="1"/>
  <c r="B47" i="10"/>
  <c r="AA46" i="10"/>
  <c r="AC46" i="10" s="1"/>
  <c r="Z46" i="10"/>
  <c r="U46" i="10"/>
  <c r="T46" i="10"/>
  <c r="S46" i="10"/>
  <c r="R46" i="10"/>
  <c r="Q46" i="10"/>
  <c r="P46" i="10"/>
  <c r="O46" i="10"/>
  <c r="N46" i="10"/>
  <c r="M46" i="10"/>
  <c r="K46" i="10"/>
  <c r="J46" i="10"/>
  <c r="I46" i="10"/>
  <c r="H46" i="10"/>
  <c r="G46" i="10"/>
  <c r="F46" i="10"/>
  <c r="E46" i="10"/>
  <c r="D46" i="10"/>
  <c r="L46" i="10" s="1"/>
  <c r="C46" i="10"/>
  <c r="B46" i="10"/>
  <c r="AA45" i="10"/>
  <c r="AC45" i="10" s="1"/>
  <c r="Z45" i="10"/>
  <c r="U45" i="10"/>
  <c r="T45" i="10"/>
  <c r="S45" i="10"/>
  <c r="R45" i="10"/>
  <c r="Q45" i="10"/>
  <c r="P45" i="10"/>
  <c r="O45" i="10"/>
  <c r="N45" i="10"/>
  <c r="M45" i="10"/>
  <c r="V45" i="10" s="1"/>
  <c r="K45" i="10"/>
  <c r="J45" i="10"/>
  <c r="I45" i="10"/>
  <c r="H45" i="10"/>
  <c r="G45" i="10"/>
  <c r="F45" i="10"/>
  <c r="E45" i="10"/>
  <c r="D45" i="10"/>
  <c r="C45" i="10"/>
  <c r="B45" i="10"/>
  <c r="B68" i="10" s="1"/>
  <c r="B92" i="10" s="1"/>
  <c r="B116" i="10" s="1"/>
  <c r="AA44" i="10"/>
  <c r="AC44" i="10" s="1"/>
  <c r="Z44" i="10"/>
  <c r="U44" i="10"/>
  <c r="T44" i="10"/>
  <c r="S44" i="10"/>
  <c r="R44" i="10"/>
  <c r="Q44" i="10"/>
  <c r="P44" i="10"/>
  <c r="O44" i="10"/>
  <c r="N44" i="10"/>
  <c r="M44" i="10"/>
  <c r="K44" i="10"/>
  <c r="J44" i="10"/>
  <c r="I44" i="10"/>
  <c r="H44" i="10"/>
  <c r="G44" i="10"/>
  <c r="F44" i="10"/>
  <c r="E44" i="10"/>
  <c r="D44" i="10"/>
  <c r="C44" i="10"/>
  <c r="B44" i="10"/>
  <c r="B67" i="10" s="1"/>
  <c r="B91" i="10" s="1"/>
  <c r="B115" i="10" s="1"/>
  <c r="AC43" i="10"/>
  <c r="AA43" i="10"/>
  <c r="Z43" i="10"/>
  <c r="U43" i="10"/>
  <c r="T43" i="10"/>
  <c r="S43" i="10"/>
  <c r="R43" i="10"/>
  <c r="Q43" i="10"/>
  <c r="P43" i="10"/>
  <c r="O43" i="10"/>
  <c r="N43" i="10"/>
  <c r="M43" i="10"/>
  <c r="K43" i="10"/>
  <c r="J43" i="10"/>
  <c r="I43" i="10"/>
  <c r="H43" i="10"/>
  <c r="G43" i="10"/>
  <c r="F43" i="10"/>
  <c r="E43" i="10"/>
  <c r="D43" i="10"/>
  <c r="C43" i="10"/>
  <c r="B43" i="10"/>
  <c r="AA42" i="10"/>
  <c r="AC42" i="10" s="1"/>
  <c r="Z42" i="10"/>
  <c r="U42" i="10"/>
  <c r="T42" i="10"/>
  <c r="S42" i="10"/>
  <c r="R42" i="10"/>
  <c r="Q42" i="10"/>
  <c r="P42" i="10"/>
  <c r="O42" i="10"/>
  <c r="N42" i="10"/>
  <c r="M42" i="10"/>
  <c r="V42" i="10" s="1"/>
  <c r="K42" i="10"/>
  <c r="J42" i="10"/>
  <c r="I42" i="10"/>
  <c r="H42" i="10"/>
  <c r="G42" i="10"/>
  <c r="F42" i="10"/>
  <c r="E42" i="10"/>
  <c r="D42" i="10"/>
  <c r="C42" i="10"/>
  <c r="B42" i="10"/>
  <c r="Z41" i="10"/>
  <c r="Y41" i="10"/>
  <c r="X41" i="10"/>
  <c r="AA41" i="10" s="1"/>
  <c r="AC41" i="10" s="1"/>
  <c r="U41" i="10"/>
  <c r="T41" i="10"/>
  <c r="S41" i="10"/>
  <c r="R41" i="10"/>
  <c r="Q41" i="10"/>
  <c r="P41" i="10"/>
  <c r="O41" i="10"/>
  <c r="N41" i="10"/>
  <c r="M41" i="10"/>
  <c r="K41" i="10"/>
  <c r="J41" i="10"/>
  <c r="I41" i="10"/>
  <c r="H41" i="10"/>
  <c r="G41" i="10"/>
  <c r="F41" i="10"/>
  <c r="E41" i="10"/>
  <c r="D41" i="10"/>
  <c r="C41" i="10"/>
  <c r="B41" i="10"/>
  <c r="Z40" i="10"/>
  <c r="Y40" i="10"/>
  <c r="X40" i="10"/>
  <c r="U40" i="10"/>
  <c r="T40" i="10"/>
  <c r="S40" i="10"/>
  <c r="R40" i="10"/>
  <c r="Q40" i="10"/>
  <c r="P40" i="10"/>
  <c r="O40" i="10"/>
  <c r="N40" i="10"/>
  <c r="M40" i="10"/>
  <c r="K40" i="10"/>
  <c r="J40" i="10"/>
  <c r="I40" i="10"/>
  <c r="H40" i="10"/>
  <c r="G40" i="10"/>
  <c r="F40" i="10"/>
  <c r="E40" i="10"/>
  <c r="D40" i="10"/>
  <c r="C40" i="10"/>
  <c r="B40" i="10"/>
  <c r="B63" i="10" s="1"/>
  <c r="B87" i="10" s="1"/>
  <c r="B111" i="10" s="1"/>
  <c r="AA39" i="10"/>
  <c r="AC39" i="10" s="1"/>
  <c r="Z39" i="10"/>
  <c r="Y39" i="10"/>
  <c r="X39" i="10"/>
  <c r="U39" i="10"/>
  <c r="T39" i="10"/>
  <c r="S39" i="10"/>
  <c r="R39" i="10"/>
  <c r="Q39" i="10"/>
  <c r="P39" i="10"/>
  <c r="O39" i="10"/>
  <c r="N39" i="10"/>
  <c r="M39" i="10"/>
  <c r="K39" i="10"/>
  <c r="J39" i="10"/>
  <c r="I39" i="10"/>
  <c r="H39" i="10"/>
  <c r="G39" i="10"/>
  <c r="F39" i="10"/>
  <c r="E39" i="10"/>
  <c r="D39" i="10"/>
  <c r="C39" i="10"/>
  <c r="B39" i="10"/>
  <c r="AC38" i="10"/>
  <c r="AA38" i="10"/>
  <c r="U38" i="10"/>
  <c r="T38" i="10"/>
  <c r="S38" i="10"/>
  <c r="R38" i="10"/>
  <c r="Q38" i="10"/>
  <c r="P38" i="10"/>
  <c r="O38" i="10"/>
  <c r="N38" i="10"/>
  <c r="M38" i="10"/>
  <c r="K38" i="10"/>
  <c r="J38" i="10"/>
  <c r="I38" i="10"/>
  <c r="H38" i="10"/>
  <c r="G38" i="10"/>
  <c r="F38" i="10"/>
  <c r="E38" i="10"/>
  <c r="D38" i="10"/>
  <c r="C38" i="10"/>
  <c r="B38" i="10"/>
  <c r="B61" i="10" s="1"/>
  <c r="B85" i="10" s="1"/>
  <c r="B109" i="10" s="1"/>
  <c r="Z37" i="10"/>
  <c r="Y37" i="10"/>
  <c r="X37" i="10"/>
  <c r="U37" i="10"/>
  <c r="T37" i="10"/>
  <c r="S37" i="10"/>
  <c r="R37" i="10"/>
  <c r="Q37" i="10"/>
  <c r="P37" i="10"/>
  <c r="O37" i="10"/>
  <c r="N37" i="10"/>
  <c r="M37" i="10"/>
  <c r="K37" i="10"/>
  <c r="J37" i="10"/>
  <c r="I37" i="10"/>
  <c r="H37" i="10"/>
  <c r="G37" i="10"/>
  <c r="F37" i="10"/>
  <c r="E37" i="10"/>
  <c r="D37" i="10"/>
  <c r="C37" i="10"/>
  <c r="B37" i="10"/>
  <c r="AC36" i="10"/>
  <c r="Z36" i="10"/>
  <c r="Y36" i="10"/>
  <c r="X36" i="10"/>
  <c r="AA36" i="10" s="1"/>
  <c r="U36" i="10"/>
  <c r="T36" i="10"/>
  <c r="S36" i="10"/>
  <c r="R36" i="10"/>
  <c r="Q36" i="10"/>
  <c r="P36" i="10"/>
  <c r="O36" i="10"/>
  <c r="N36" i="10"/>
  <c r="M36" i="10"/>
  <c r="K36" i="10"/>
  <c r="J36" i="10"/>
  <c r="I36" i="10"/>
  <c r="H36" i="10"/>
  <c r="G36" i="10"/>
  <c r="F36" i="10"/>
  <c r="E36" i="10"/>
  <c r="D36" i="10"/>
  <c r="C36" i="10"/>
  <c r="B36" i="10"/>
  <c r="B59" i="10" s="1"/>
  <c r="Z35" i="10"/>
  <c r="Y35" i="10"/>
  <c r="X35" i="10"/>
  <c r="AA35" i="10" s="1"/>
  <c r="AC35" i="10" s="1"/>
  <c r="U35" i="10"/>
  <c r="T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D35" i="10"/>
  <c r="L35" i="10" s="1"/>
  <c r="C35" i="10"/>
  <c r="B35" i="10"/>
  <c r="B58" i="10" s="1"/>
  <c r="Z34" i="10"/>
  <c r="Y34" i="10"/>
  <c r="X34" i="10"/>
  <c r="U34" i="10"/>
  <c r="T34" i="10"/>
  <c r="S34" i="10"/>
  <c r="R34" i="10"/>
  <c r="Q34" i="10"/>
  <c r="P34" i="10"/>
  <c r="O34" i="10"/>
  <c r="N34" i="10"/>
  <c r="M34" i="10"/>
  <c r="K34" i="10"/>
  <c r="J34" i="10"/>
  <c r="I34" i="10"/>
  <c r="H34" i="10"/>
  <c r="G34" i="10"/>
  <c r="F34" i="10"/>
  <c r="E34" i="10"/>
  <c r="D34" i="10"/>
  <c r="C34" i="10"/>
  <c r="B34" i="10"/>
  <c r="B57" i="10" s="1"/>
  <c r="AC33" i="10"/>
  <c r="Y33" i="10"/>
  <c r="X33" i="10"/>
  <c r="AA33" i="10" s="1"/>
  <c r="U33" i="10"/>
  <c r="T33" i="10"/>
  <c r="S33" i="10"/>
  <c r="R33" i="10"/>
  <c r="Q33" i="10"/>
  <c r="P33" i="10"/>
  <c r="O33" i="10"/>
  <c r="N33" i="10"/>
  <c r="M33" i="10"/>
  <c r="K33" i="10"/>
  <c r="J33" i="10"/>
  <c r="I33" i="10"/>
  <c r="H33" i="10"/>
  <c r="G33" i="10"/>
  <c r="F33" i="10"/>
  <c r="E33" i="10"/>
  <c r="D33" i="10"/>
  <c r="C33" i="10"/>
  <c r="B33" i="10"/>
  <c r="AA32" i="10"/>
  <c r="AC32" i="10" s="1"/>
  <c r="Z32" i="10"/>
  <c r="Y32" i="10"/>
  <c r="X32" i="10"/>
  <c r="U32" i="10"/>
  <c r="T32" i="10"/>
  <c r="S32" i="10"/>
  <c r="R32" i="10"/>
  <c r="Q32" i="10"/>
  <c r="P32" i="10"/>
  <c r="O32" i="10"/>
  <c r="N32" i="10"/>
  <c r="M32" i="10"/>
  <c r="K32" i="10"/>
  <c r="J32" i="10"/>
  <c r="I32" i="10"/>
  <c r="H32" i="10"/>
  <c r="G32" i="10"/>
  <c r="F32" i="10"/>
  <c r="E32" i="10"/>
  <c r="D32" i="10"/>
  <c r="C32" i="10"/>
  <c r="B32" i="10"/>
  <c r="B55" i="10" s="1"/>
  <c r="B79" i="10" s="1"/>
  <c r="B103" i="10" s="1"/>
  <c r="Z31" i="10"/>
  <c r="Y31" i="10"/>
  <c r="X31" i="10"/>
  <c r="AA31" i="10" s="1"/>
  <c r="AC31" i="10" s="1"/>
  <c r="U31" i="10"/>
  <c r="T31" i="10"/>
  <c r="S31" i="10"/>
  <c r="R31" i="10"/>
  <c r="Q31" i="10"/>
  <c r="P31" i="10"/>
  <c r="O31" i="10"/>
  <c r="N31" i="10"/>
  <c r="M31" i="10"/>
  <c r="K31" i="10"/>
  <c r="J31" i="10"/>
  <c r="I31" i="10"/>
  <c r="H31" i="10"/>
  <c r="G31" i="10"/>
  <c r="F31" i="10"/>
  <c r="E31" i="10"/>
  <c r="D31" i="10"/>
  <c r="C31" i="10"/>
  <c r="B31" i="10"/>
  <c r="AA30" i="10"/>
  <c r="AC30" i="10" s="1"/>
  <c r="Z30" i="10"/>
  <c r="Y30" i="10"/>
  <c r="X30" i="10"/>
  <c r="U30" i="10"/>
  <c r="T30" i="10"/>
  <c r="S30" i="10"/>
  <c r="R30" i="10"/>
  <c r="Q30" i="10"/>
  <c r="P30" i="10"/>
  <c r="O30" i="10"/>
  <c r="N30" i="10"/>
  <c r="M30" i="10"/>
  <c r="K30" i="10"/>
  <c r="J30" i="10"/>
  <c r="I30" i="10"/>
  <c r="H30" i="10"/>
  <c r="G30" i="10"/>
  <c r="F30" i="10"/>
  <c r="E30" i="10"/>
  <c r="D30" i="10"/>
  <c r="C30" i="10"/>
  <c r="B30" i="10"/>
  <c r="B53" i="10" s="1"/>
  <c r="B77" i="10" s="1"/>
  <c r="B101" i="10" s="1"/>
  <c r="Z29" i="10"/>
  <c r="Y29" i="10"/>
  <c r="X29" i="10"/>
  <c r="AA29" i="10" s="1"/>
  <c r="AC29" i="10" s="1"/>
  <c r="U29" i="10"/>
  <c r="T29" i="10"/>
  <c r="S29" i="10"/>
  <c r="R29" i="10"/>
  <c r="Q29" i="10"/>
  <c r="P29" i="10"/>
  <c r="O29" i="10"/>
  <c r="N29" i="10"/>
  <c r="M29" i="10"/>
  <c r="K29" i="10"/>
  <c r="J29" i="10"/>
  <c r="I29" i="10"/>
  <c r="H29" i="10"/>
  <c r="G29" i="10"/>
  <c r="F29" i="10"/>
  <c r="E29" i="10"/>
  <c r="D29" i="10"/>
  <c r="C29" i="10"/>
  <c r="B29" i="10"/>
  <c r="B52" i="10" s="1"/>
  <c r="A29" i="10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Z28" i="10"/>
  <c r="Y28" i="10"/>
  <c r="X28" i="10"/>
  <c r="AA28" i="10" s="1"/>
  <c r="U28" i="10"/>
  <c r="T28" i="10"/>
  <c r="S28" i="10"/>
  <c r="R28" i="10"/>
  <c r="Q28" i="10"/>
  <c r="P28" i="10"/>
  <c r="O28" i="10"/>
  <c r="N28" i="10"/>
  <c r="M28" i="10"/>
  <c r="K28" i="10"/>
  <c r="J28" i="10"/>
  <c r="I28" i="10"/>
  <c r="H28" i="10"/>
  <c r="G28" i="10"/>
  <c r="F28" i="10"/>
  <c r="E28" i="10"/>
  <c r="D28" i="10"/>
  <c r="C28" i="10"/>
  <c r="B28" i="10"/>
  <c r="B51" i="10" s="1"/>
  <c r="B75" i="10" s="1"/>
  <c r="B99" i="10" s="1"/>
  <c r="V24" i="10"/>
  <c r="L24" i="10"/>
  <c r="V23" i="10"/>
  <c r="L23" i="10"/>
  <c r="W22" i="10"/>
  <c r="V22" i="10"/>
  <c r="L22" i="10"/>
  <c r="V21" i="10"/>
  <c r="L21" i="10"/>
  <c r="W21" i="10" s="1"/>
  <c r="Y21" i="10" s="1"/>
  <c r="Z21" i="10" s="1"/>
  <c r="V20" i="10"/>
  <c r="L20" i="10"/>
  <c r="V19" i="10"/>
  <c r="W19" i="10" s="1"/>
  <c r="AA19" i="10" s="1"/>
  <c r="L19" i="10"/>
  <c r="V18" i="10"/>
  <c r="L18" i="10"/>
  <c r="V17" i="10"/>
  <c r="L17" i="10"/>
  <c r="V16" i="10"/>
  <c r="L16" i="10"/>
  <c r="W16" i="10" s="1"/>
  <c r="V15" i="10"/>
  <c r="L15" i="10"/>
  <c r="V14" i="10"/>
  <c r="L14" i="10"/>
  <c r="W14" i="10" s="1"/>
  <c r="Y14" i="10" s="1"/>
  <c r="Z14" i="10" s="1"/>
  <c r="V13" i="10"/>
  <c r="L13" i="10"/>
  <c r="V12" i="10"/>
  <c r="L12" i="10"/>
  <c r="V11" i="10"/>
  <c r="L11" i="10"/>
  <c r="W11" i="10" s="1"/>
  <c r="AA11" i="10" s="1"/>
  <c r="V10" i="10"/>
  <c r="L10" i="10"/>
  <c r="V9" i="10"/>
  <c r="L9" i="10"/>
  <c r="V8" i="10"/>
  <c r="L8" i="10"/>
  <c r="V7" i="10"/>
  <c r="L7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V6" i="10"/>
  <c r="L6" i="10"/>
  <c r="V5" i="10"/>
  <c r="L5" i="10"/>
  <c r="V4" i="10"/>
  <c r="L4" i="10"/>
  <c r="A4" i="10"/>
  <c r="A5" i="10" s="1"/>
  <c r="A6" i="10" s="1"/>
  <c r="V3" i="10"/>
  <c r="L3" i="10"/>
  <c r="H4" i="7"/>
  <c r="AA3" i="9"/>
  <c r="L5" i="9"/>
  <c r="H20" i="7"/>
  <c r="H19" i="7"/>
  <c r="H18" i="7"/>
  <c r="H16" i="7"/>
  <c r="H13" i="7"/>
  <c r="H10" i="7"/>
  <c r="H9" i="7"/>
  <c r="H8" i="7"/>
  <c r="H7" i="7"/>
  <c r="H6" i="7"/>
  <c r="H5" i="7"/>
  <c r="H3" i="7"/>
  <c r="H11" i="7"/>
  <c r="H12" i="7" s="1"/>
  <c r="H14" i="7" s="1"/>
  <c r="H15" i="7"/>
  <c r="H17" i="7"/>
  <c r="H21" i="7"/>
  <c r="H22" i="7"/>
  <c r="Z23" i="9"/>
  <c r="Z21" i="9"/>
  <c r="Z20" i="9"/>
  <c r="Z18" i="9"/>
  <c r="Z17" i="9"/>
  <c r="Z14" i="9"/>
  <c r="Z13" i="9"/>
  <c r="Z10" i="9"/>
  <c r="Z9" i="9"/>
  <c r="Z6" i="9"/>
  <c r="Z4" i="9"/>
  <c r="Y23" i="9"/>
  <c r="Y21" i="9"/>
  <c r="Y20" i="9"/>
  <c r="Y18" i="9"/>
  <c r="Y17" i="9"/>
  <c r="Y14" i="9"/>
  <c r="Y13" i="9"/>
  <c r="Y10" i="9"/>
  <c r="Y9" i="9"/>
  <c r="Y6" i="9"/>
  <c r="Y4" i="9"/>
  <c r="Z22" i="1"/>
  <c r="Z21" i="1"/>
  <c r="Z20" i="1"/>
  <c r="Z19" i="1"/>
  <c r="Z18" i="1"/>
  <c r="AA49" i="9"/>
  <c r="Z49" i="9"/>
  <c r="Z48" i="9"/>
  <c r="AA48" i="9" s="1"/>
  <c r="AC48" i="9" s="1"/>
  <c r="AA47" i="9"/>
  <c r="AC47" i="9" s="1"/>
  <c r="Z47" i="9"/>
  <c r="Z46" i="9"/>
  <c r="AA46" i="9" s="1"/>
  <c r="AC46" i="9" s="1"/>
  <c r="Z45" i="9"/>
  <c r="AA45" i="9" s="1"/>
  <c r="AC45" i="9" s="1"/>
  <c r="Z44" i="9"/>
  <c r="AA44" i="9" s="1"/>
  <c r="AC44" i="9" s="1"/>
  <c r="AA43" i="9"/>
  <c r="AC43" i="9" s="1"/>
  <c r="Z43" i="9"/>
  <c r="Z42" i="9"/>
  <c r="AA42" i="9" s="1"/>
  <c r="AC42" i="9" s="1"/>
  <c r="U49" i="9"/>
  <c r="T49" i="9"/>
  <c r="S49" i="9"/>
  <c r="R49" i="9"/>
  <c r="Q49" i="9"/>
  <c r="P49" i="9"/>
  <c r="O49" i="9"/>
  <c r="N49" i="9"/>
  <c r="M49" i="9"/>
  <c r="K49" i="9"/>
  <c r="J49" i="9"/>
  <c r="I49" i="9"/>
  <c r="H49" i="9"/>
  <c r="G49" i="9"/>
  <c r="F49" i="9"/>
  <c r="E49" i="9"/>
  <c r="D49" i="9"/>
  <c r="C49" i="9"/>
  <c r="D48" i="9"/>
  <c r="N48" i="9"/>
  <c r="U48" i="9"/>
  <c r="T48" i="9"/>
  <c r="S48" i="9"/>
  <c r="R48" i="9"/>
  <c r="Q48" i="9"/>
  <c r="P48" i="9"/>
  <c r="O48" i="9"/>
  <c r="M48" i="9"/>
  <c r="K48" i="9"/>
  <c r="L48" i="9" s="1"/>
  <c r="J48" i="9"/>
  <c r="I48" i="9"/>
  <c r="H48" i="9"/>
  <c r="G48" i="9"/>
  <c r="F48" i="9"/>
  <c r="E48" i="9"/>
  <c r="C48" i="9"/>
  <c r="U47" i="9"/>
  <c r="T47" i="9"/>
  <c r="S47" i="9"/>
  <c r="R47" i="9"/>
  <c r="Q47" i="9"/>
  <c r="P47" i="9"/>
  <c r="O47" i="9"/>
  <c r="N47" i="9"/>
  <c r="M47" i="9"/>
  <c r="K47" i="9"/>
  <c r="J47" i="9"/>
  <c r="I47" i="9"/>
  <c r="H47" i="9"/>
  <c r="G47" i="9"/>
  <c r="F47" i="9"/>
  <c r="E47" i="9"/>
  <c r="D47" i="9"/>
  <c r="C47" i="9"/>
  <c r="U45" i="9"/>
  <c r="T45" i="9"/>
  <c r="S45" i="9"/>
  <c r="R45" i="9"/>
  <c r="Q45" i="9"/>
  <c r="P45" i="9"/>
  <c r="O45" i="9"/>
  <c r="N45" i="9"/>
  <c r="M45" i="9"/>
  <c r="K45" i="9"/>
  <c r="J45" i="9"/>
  <c r="I45" i="9"/>
  <c r="H45" i="9"/>
  <c r="G45" i="9"/>
  <c r="F45" i="9"/>
  <c r="E45" i="9"/>
  <c r="D45" i="9"/>
  <c r="C45" i="9"/>
  <c r="U40" i="9"/>
  <c r="T40" i="9"/>
  <c r="S40" i="9"/>
  <c r="R40" i="9"/>
  <c r="Q40" i="9"/>
  <c r="P40" i="9"/>
  <c r="O40" i="9"/>
  <c r="N40" i="9"/>
  <c r="M40" i="9"/>
  <c r="K40" i="9"/>
  <c r="J40" i="9"/>
  <c r="I40" i="9"/>
  <c r="H40" i="9"/>
  <c r="G40" i="9"/>
  <c r="F40" i="9"/>
  <c r="E40" i="9"/>
  <c r="D40" i="9"/>
  <c r="C40" i="9"/>
  <c r="U44" i="9"/>
  <c r="T44" i="9"/>
  <c r="S44" i="9"/>
  <c r="R44" i="9"/>
  <c r="Q44" i="9"/>
  <c r="P44" i="9"/>
  <c r="O44" i="9"/>
  <c r="N44" i="9"/>
  <c r="M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N43" i="9"/>
  <c r="M43" i="9"/>
  <c r="K43" i="9"/>
  <c r="J43" i="9"/>
  <c r="I43" i="9"/>
  <c r="H43" i="9"/>
  <c r="G43" i="9"/>
  <c r="F43" i="9"/>
  <c r="E43" i="9"/>
  <c r="D43" i="9"/>
  <c r="C43" i="9"/>
  <c r="I42" i="9"/>
  <c r="U42" i="9"/>
  <c r="T42" i="9"/>
  <c r="S42" i="9"/>
  <c r="R42" i="9"/>
  <c r="Q42" i="9"/>
  <c r="P42" i="9"/>
  <c r="O42" i="9"/>
  <c r="N42" i="9"/>
  <c r="M42" i="9"/>
  <c r="K42" i="9"/>
  <c r="J42" i="9"/>
  <c r="H42" i="9"/>
  <c r="G42" i="9"/>
  <c r="F42" i="9"/>
  <c r="E42" i="9"/>
  <c r="D42" i="9"/>
  <c r="C42" i="9"/>
  <c r="U41" i="9"/>
  <c r="T41" i="9"/>
  <c r="S41" i="9"/>
  <c r="R41" i="9"/>
  <c r="Q41" i="9"/>
  <c r="P41" i="9"/>
  <c r="O41" i="9"/>
  <c r="N41" i="9"/>
  <c r="M41" i="9"/>
  <c r="K41" i="9"/>
  <c r="J41" i="9"/>
  <c r="I41" i="9"/>
  <c r="H41" i="9"/>
  <c r="G41" i="9"/>
  <c r="F41" i="9"/>
  <c r="E41" i="9"/>
  <c r="D41" i="9"/>
  <c r="C41" i="9"/>
  <c r="W9" i="10" l="1"/>
  <c r="Y9" i="10" s="1"/>
  <c r="Z9" i="10" s="1"/>
  <c r="L30" i="10"/>
  <c r="W5" i="10"/>
  <c r="Y5" i="10" s="1"/>
  <c r="Z5" i="10" s="1"/>
  <c r="V49" i="10"/>
  <c r="L49" i="10"/>
  <c r="W24" i="10"/>
  <c r="AA24" i="10" s="1"/>
  <c r="L48" i="10"/>
  <c r="W4" i="10"/>
  <c r="Y4" i="10" s="1"/>
  <c r="Z4" i="10" s="1"/>
  <c r="L39" i="10"/>
  <c r="W6" i="10"/>
  <c r="Y6" i="10" s="1"/>
  <c r="Z6" i="10" s="1"/>
  <c r="W12" i="10"/>
  <c r="AA12" i="10" s="1"/>
  <c r="L31" i="10"/>
  <c r="W7" i="10"/>
  <c r="AA7" i="10" s="1"/>
  <c r="V35" i="10"/>
  <c r="AA14" i="10"/>
  <c r="W20" i="10"/>
  <c r="AA20" i="10" s="1"/>
  <c r="V30" i="10"/>
  <c r="W30" i="10" s="1"/>
  <c r="V39" i="10"/>
  <c r="W39" i="10" s="1"/>
  <c r="V41" i="10"/>
  <c r="V43" i="10"/>
  <c r="V47" i="10"/>
  <c r="W3" i="10"/>
  <c r="AA3" i="10" s="1"/>
  <c r="W8" i="10"/>
  <c r="Y8" i="10" s="1"/>
  <c r="Z8" i="10" s="1"/>
  <c r="W10" i="10"/>
  <c r="AA10" i="10" s="1"/>
  <c r="Y11" i="10"/>
  <c r="Z11" i="10" s="1"/>
  <c r="W15" i="10"/>
  <c r="AA15" i="10" s="1"/>
  <c r="V32" i="10"/>
  <c r="W32" i="10" s="1"/>
  <c r="V36" i="10"/>
  <c r="W36" i="10" s="1"/>
  <c r="V44" i="10"/>
  <c r="L32" i="10"/>
  <c r="L33" i="10"/>
  <c r="W23" i="10"/>
  <c r="Y23" i="10" s="1"/>
  <c r="Z23" i="10" s="1"/>
  <c r="L37" i="10"/>
  <c r="L41" i="10"/>
  <c r="W18" i="10"/>
  <c r="L28" i="10"/>
  <c r="L29" i="10"/>
  <c r="L34" i="10"/>
  <c r="L36" i="10"/>
  <c r="L40" i="10"/>
  <c r="L44" i="10"/>
  <c r="L38" i="10"/>
  <c r="W49" i="10"/>
  <c r="Y19" i="10"/>
  <c r="Z19" i="10" s="1"/>
  <c r="W103" i="10"/>
  <c r="X103" i="10" s="1"/>
  <c r="AB103" i="10" s="1"/>
  <c r="AA5" i="10"/>
  <c r="W114" i="10"/>
  <c r="X114" i="10" s="1"/>
  <c r="AB114" i="10" s="1"/>
  <c r="Y12" i="10"/>
  <c r="Z12" i="10" s="1"/>
  <c r="AA6" i="10"/>
  <c r="Y15" i="10"/>
  <c r="Z15" i="10" s="1"/>
  <c r="Y18" i="10"/>
  <c r="Z18" i="10" s="1"/>
  <c r="AA18" i="10"/>
  <c r="Y22" i="10"/>
  <c r="Z22" i="10" s="1"/>
  <c r="AA22" i="10"/>
  <c r="AA16" i="10"/>
  <c r="Y16" i="10"/>
  <c r="Z16" i="10" s="1"/>
  <c r="AC28" i="10"/>
  <c r="V110" i="10"/>
  <c r="W110" i="10" s="1"/>
  <c r="X110" i="10" s="1"/>
  <c r="AB110" i="10" s="1"/>
  <c r="AA21" i="10"/>
  <c r="Y50" i="10"/>
  <c r="V37" i="10"/>
  <c r="H56" i="10"/>
  <c r="C106" i="10"/>
  <c r="L106" i="10" s="1"/>
  <c r="W17" i="10"/>
  <c r="Z50" i="10"/>
  <c r="V29" i="10"/>
  <c r="W29" i="10" s="1"/>
  <c r="V31" i="10"/>
  <c r="V33" i="10"/>
  <c r="V34" i="10"/>
  <c r="W34" i="10" s="1"/>
  <c r="AA37" i="10"/>
  <c r="AC37" i="10" s="1"/>
  <c r="V38" i="10"/>
  <c r="W38" i="10" s="1"/>
  <c r="L42" i="10"/>
  <c r="W42" i="10" s="1"/>
  <c r="W47" i="10"/>
  <c r="X50" i="10"/>
  <c r="C73" i="10"/>
  <c r="C121" i="10" s="1"/>
  <c r="M97" i="10"/>
  <c r="S121" i="10"/>
  <c r="S105" i="10"/>
  <c r="V105" i="10" s="1"/>
  <c r="W105" i="10" s="1"/>
  <c r="X105" i="10" s="1"/>
  <c r="AB105" i="10" s="1"/>
  <c r="N108" i="10"/>
  <c r="Y24" i="10"/>
  <c r="Z24" i="10" s="1"/>
  <c r="N101" i="10"/>
  <c r="V101" i="10" s="1"/>
  <c r="W101" i="10" s="1"/>
  <c r="X101" i="10" s="1"/>
  <c r="AB101" i="10" s="1"/>
  <c r="I97" i="10"/>
  <c r="I121" i="10" s="1"/>
  <c r="I105" i="10"/>
  <c r="L105" i="10" s="1"/>
  <c r="W13" i="10"/>
  <c r="V28" i="10"/>
  <c r="W28" i="10" s="1"/>
  <c r="AA34" i="10"/>
  <c r="AC34" i="10" s="1"/>
  <c r="W35" i="10"/>
  <c r="AA40" i="10"/>
  <c r="AC40" i="10" s="1"/>
  <c r="W44" i="10"/>
  <c r="O106" i="10"/>
  <c r="O84" i="10"/>
  <c r="O108" i="10" s="1"/>
  <c r="V108" i="10" s="1"/>
  <c r="W108" i="10" s="1"/>
  <c r="X108" i="10" s="1"/>
  <c r="AB108" i="10" s="1"/>
  <c r="H97" i="10"/>
  <c r="W99" i="10"/>
  <c r="X99" i="10" s="1"/>
  <c r="AB99" i="10" s="1"/>
  <c r="AB100" i="10"/>
  <c r="H101" i="10"/>
  <c r="L101" i="10" s="1"/>
  <c r="L103" i="10"/>
  <c r="V107" i="10"/>
  <c r="W112" i="10"/>
  <c r="X112" i="10" s="1"/>
  <c r="AB112" i="10" s="1"/>
  <c r="W113" i="10"/>
  <c r="X113" i="10" s="1"/>
  <c r="AB113" i="10" s="1"/>
  <c r="V40" i="10"/>
  <c r="L43" i="10"/>
  <c r="V46" i="10"/>
  <c r="W46" i="10" s="1"/>
  <c r="M58" i="10"/>
  <c r="K121" i="10"/>
  <c r="L114" i="10"/>
  <c r="V118" i="10"/>
  <c r="W118" i="10" s="1"/>
  <c r="X118" i="10" s="1"/>
  <c r="L120" i="10"/>
  <c r="W120" i="10" s="1"/>
  <c r="X120" i="10" s="1"/>
  <c r="L45" i="10"/>
  <c r="W45" i="10" s="1"/>
  <c r="V48" i="10"/>
  <c r="W48" i="10" s="1"/>
  <c r="N82" i="10"/>
  <c r="G121" i="10"/>
  <c r="L102" i="10"/>
  <c r="W102" i="10" s="1"/>
  <c r="X102" i="10" s="1"/>
  <c r="AB102" i="10" s="1"/>
  <c r="L108" i="10"/>
  <c r="W111" i="10"/>
  <c r="X111" i="10" s="1"/>
  <c r="AB111" i="10" s="1"/>
  <c r="V115" i="10"/>
  <c r="W115" i="10" s="1"/>
  <c r="X115" i="10" s="1"/>
  <c r="L49" i="9"/>
  <c r="L40" i="9"/>
  <c r="L44" i="9"/>
  <c r="L41" i="9"/>
  <c r="L47" i="9"/>
  <c r="H24" i="7"/>
  <c r="L43" i="9"/>
  <c r="AC49" i="9"/>
  <c r="L42" i="9"/>
  <c r="L45" i="9"/>
  <c r="U38" i="9"/>
  <c r="T38" i="9"/>
  <c r="S38" i="9"/>
  <c r="R38" i="9"/>
  <c r="Q38" i="9"/>
  <c r="P38" i="9"/>
  <c r="O38" i="9"/>
  <c r="N38" i="9"/>
  <c r="M38" i="9"/>
  <c r="K38" i="9"/>
  <c r="J38" i="9"/>
  <c r="I38" i="9"/>
  <c r="H38" i="9"/>
  <c r="G38" i="9"/>
  <c r="F38" i="9"/>
  <c r="E38" i="9"/>
  <c r="D38" i="9"/>
  <c r="C38" i="9"/>
  <c r="U37" i="9"/>
  <c r="F37" i="9"/>
  <c r="T37" i="9"/>
  <c r="S37" i="9"/>
  <c r="R37" i="9"/>
  <c r="Q37" i="9"/>
  <c r="P37" i="9"/>
  <c r="O37" i="9"/>
  <c r="N37" i="9"/>
  <c r="M37" i="9"/>
  <c r="K37" i="9"/>
  <c r="J37" i="9"/>
  <c r="I37" i="9"/>
  <c r="H37" i="9"/>
  <c r="G37" i="9"/>
  <c r="E37" i="9"/>
  <c r="D37" i="9"/>
  <c r="C37" i="9"/>
  <c r="N36" i="9"/>
  <c r="U36" i="9"/>
  <c r="T36" i="9"/>
  <c r="S36" i="9"/>
  <c r="R36" i="9"/>
  <c r="Q36" i="9"/>
  <c r="P36" i="9"/>
  <c r="O36" i="9"/>
  <c r="M36" i="9"/>
  <c r="K36" i="9"/>
  <c r="J36" i="9"/>
  <c r="I36" i="9"/>
  <c r="H36" i="9"/>
  <c r="G36" i="9"/>
  <c r="F36" i="9"/>
  <c r="E36" i="9"/>
  <c r="D36" i="9"/>
  <c r="C36" i="9"/>
  <c r="U35" i="9"/>
  <c r="T35" i="9"/>
  <c r="S35" i="9"/>
  <c r="R35" i="9"/>
  <c r="Q35" i="9"/>
  <c r="P35" i="9"/>
  <c r="O35" i="9"/>
  <c r="N35" i="9"/>
  <c r="M35" i="9"/>
  <c r="K35" i="9"/>
  <c r="J35" i="9"/>
  <c r="I35" i="9"/>
  <c r="H35" i="9"/>
  <c r="G35" i="9"/>
  <c r="F35" i="9"/>
  <c r="E35" i="9"/>
  <c r="D35" i="9"/>
  <c r="C35" i="9"/>
  <c r="L35" i="9" s="1"/>
  <c r="U34" i="9"/>
  <c r="T34" i="9"/>
  <c r="S34" i="9"/>
  <c r="R34" i="9"/>
  <c r="Q34" i="9"/>
  <c r="P34" i="9"/>
  <c r="O34" i="9"/>
  <c r="N34" i="9"/>
  <c r="M34" i="9"/>
  <c r="K34" i="9"/>
  <c r="J34" i="9"/>
  <c r="I34" i="9"/>
  <c r="H34" i="9"/>
  <c r="G34" i="9"/>
  <c r="F34" i="9"/>
  <c r="E34" i="9"/>
  <c r="D34" i="9"/>
  <c r="C34" i="9"/>
  <c r="M33" i="9"/>
  <c r="J33" i="9"/>
  <c r="U33" i="9"/>
  <c r="T33" i="9"/>
  <c r="S33" i="9"/>
  <c r="R33" i="9"/>
  <c r="Q33" i="9"/>
  <c r="P33" i="9"/>
  <c r="O33" i="9"/>
  <c r="N33" i="9"/>
  <c r="K33" i="9"/>
  <c r="I33" i="9"/>
  <c r="H33" i="9"/>
  <c r="G33" i="9"/>
  <c r="F33" i="9"/>
  <c r="E33" i="9"/>
  <c r="D33" i="9"/>
  <c r="C33" i="9"/>
  <c r="L33" i="9" s="1"/>
  <c r="K32" i="9"/>
  <c r="U32" i="9"/>
  <c r="T32" i="9"/>
  <c r="S32" i="9"/>
  <c r="R32" i="9"/>
  <c r="Q32" i="9"/>
  <c r="P32" i="9"/>
  <c r="O32" i="9"/>
  <c r="N32" i="9"/>
  <c r="M32" i="9"/>
  <c r="J32" i="9"/>
  <c r="I32" i="9"/>
  <c r="H32" i="9"/>
  <c r="G32" i="9"/>
  <c r="F32" i="9"/>
  <c r="E32" i="9"/>
  <c r="D32" i="9"/>
  <c r="C32" i="9"/>
  <c r="U31" i="9"/>
  <c r="T31" i="9"/>
  <c r="S31" i="9"/>
  <c r="R31" i="9"/>
  <c r="Q31" i="9"/>
  <c r="P31" i="9"/>
  <c r="O31" i="9"/>
  <c r="N31" i="9"/>
  <c r="M31" i="9"/>
  <c r="K31" i="9"/>
  <c r="J31" i="9"/>
  <c r="I31" i="9"/>
  <c r="H31" i="9"/>
  <c r="G31" i="9"/>
  <c r="F31" i="9"/>
  <c r="E31" i="9"/>
  <c r="D31" i="9"/>
  <c r="C31" i="9"/>
  <c r="J30" i="9"/>
  <c r="U30" i="9"/>
  <c r="T30" i="9"/>
  <c r="S30" i="9"/>
  <c r="R30" i="9"/>
  <c r="Q30" i="9"/>
  <c r="P30" i="9"/>
  <c r="O30" i="9"/>
  <c r="N30" i="9"/>
  <c r="M30" i="9"/>
  <c r="K30" i="9"/>
  <c r="I30" i="9"/>
  <c r="H30" i="9"/>
  <c r="G30" i="9"/>
  <c r="F30" i="9"/>
  <c r="E30" i="9"/>
  <c r="D30" i="9"/>
  <c r="C30" i="9"/>
  <c r="U29" i="9"/>
  <c r="T29" i="9"/>
  <c r="S29" i="9"/>
  <c r="R29" i="9"/>
  <c r="Q29" i="9"/>
  <c r="P29" i="9"/>
  <c r="O29" i="9"/>
  <c r="N29" i="9"/>
  <c r="M29" i="9"/>
  <c r="K29" i="9"/>
  <c r="J29" i="9"/>
  <c r="I29" i="9"/>
  <c r="H29" i="9"/>
  <c r="G29" i="9"/>
  <c r="F29" i="9"/>
  <c r="E29" i="9"/>
  <c r="D29" i="9"/>
  <c r="C29" i="9"/>
  <c r="U28" i="9"/>
  <c r="T28" i="9"/>
  <c r="S28" i="9"/>
  <c r="R28" i="9"/>
  <c r="Q28" i="9"/>
  <c r="P28" i="9"/>
  <c r="O28" i="9"/>
  <c r="N28" i="9"/>
  <c r="M28" i="9"/>
  <c r="K28" i="9"/>
  <c r="J28" i="9"/>
  <c r="I28" i="9"/>
  <c r="H28" i="9"/>
  <c r="G28" i="9"/>
  <c r="F28" i="9"/>
  <c r="E28" i="9"/>
  <c r="D28" i="9"/>
  <c r="C28" i="9"/>
  <c r="L28" i="9" s="1"/>
  <c r="AA121" i="9"/>
  <c r="Y121" i="9"/>
  <c r="X121" i="9"/>
  <c r="W121" i="9"/>
  <c r="V121" i="9"/>
  <c r="R121" i="9"/>
  <c r="L121" i="9"/>
  <c r="B121" i="9"/>
  <c r="AA120" i="9"/>
  <c r="Y120" i="9"/>
  <c r="U120" i="9"/>
  <c r="T120" i="9"/>
  <c r="S120" i="9"/>
  <c r="R120" i="9"/>
  <c r="Q120" i="9"/>
  <c r="P120" i="9"/>
  <c r="O120" i="9"/>
  <c r="N120" i="9"/>
  <c r="V120" i="9" s="1"/>
  <c r="W120" i="9" s="1"/>
  <c r="X120" i="9" s="1"/>
  <c r="M120" i="9"/>
  <c r="K120" i="9"/>
  <c r="J120" i="9"/>
  <c r="I120" i="9"/>
  <c r="H120" i="9"/>
  <c r="G120" i="9"/>
  <c r="F120" i="9"/>
  <c r="E120" i="9"/>
  <c r="D120" i="9"/>
  <c r="C120" i="9"/>
  <c r="L120" i="9" s="1"/>
  <c r="AA119" i="9"/>
  <c r="Y119" i="9"/>
  <c r="U119" i="9"/>
  <c r="T119" i="9"/>
  <c r="S119" i="9"/>
  <c r="R119" i="9"/>
  <c r="Q119" i="9"/>
  <c r="P119" i="9"/>
  <c r="O119" i="9"/>
  <c r="N119" i="9"/>
  <c r="V119" i="9" s="1"/>
  <c r="M119" i="9"/>
  <c r="K119" i="9"/>
  <c r="J119" i="9"/>
  <c r="I119" i="9"/>
  <c r="H119" i="9"/>
  <c r="G119" i="9"/>
  <c r="F119" i="9"/>
  <c r="E119" i="9"/>
  <c r="D119" i="9"/>
  <c r="L119" i="9" s="1"/>
  <c r="C119" i="9"/>
  <c r="AA118" i="9"/>
  <c r="Y118" i="9"/>
  <c r="U118" i="9"/>
  <c r="T118" i="9"/>
  <c r="S118" i="9"/>
  <c r="R118" i="9"/>
  <c r="Q118" i="9"/>
  <c r="P118" i="9"/>
  <c r="O118" i="9"/>
  <c r="N118" i="9"/>
  <c r="M118" i="9"/>
  <c r="V118" i="9" s="1"/>
  <c r="K118" i="9"/>
  <c r="J118" i="9"/>
  <c r="I118" i="9"/>
  <c r="H118" i="9"/>
  <c r="G118" i="9"/>
  <c r="F118" i="9"/>
  <c r="E118" i="9"/>
  <c r="D118" i="9"/>
  <c r="AA117" i="9"/>
  <c r="Y117" i="9"/>
  <c r="U117" i="9"/>
  <c r="T117" i="9"/>
  <c r="S117" i="9"/>
  <c r="R117" i="9"/>
  <c r="Q117" i="9"/>
  <c r="P117" i="9"/>
  <c r="O117" i="9"/>
  <c r="N117" i="9"/>
  <c r="V117" i="9" s="1"/>
  <c r="W117" i="9" s="1"/>
  <c r="X117" i="9" s="1"/>
  <c r="M117" i="9"/>
  <c r="K117" i="9"/>
  <c r="J117" i="9"/>
  <c r="I117" i="9"/>
  <c r="H117" i="9"/>
  <c r="G117" i="9"/>
  <c r="F117" i="9"/>
  <c r="E117" i="9"/>
  <c r="D117" i="9"/>
  <c r="L117" i="9" s="1"/>
  <c r="C117" i="9"/>
  <c r="AA116" i="9"/>
  <c r="Y116" i="9"/>
  <c r="U116" i="9"/>
  <c r="T116" i="9"/>
  <c r="S116" i="9"/>
  <c r="R116" i="9"/>
  <c r="Q116" i="9"/>
  <c r="P116" i="9"/>
  <c r="O116" i="9"/>
  <c r="N116" i="9"/>
  <c r="M116" i="9"/>
  <c r="K116" i="9"/>
  <c r="J116" i="9"/>
  <c r="I116" i="9"/>
  <c r="H116" i="9"/>
  <c r="G116" i="9"/>
  <c r="F116" i="9"/>
  <c r="E116" i="9"/>
  <c r="D116" i="9"/>
  <c r="C116" i="9"/>
  <c r="L116" i="9" s="1"/>
  <c r="AA115" i="9"/>
  <c r="Y115" i="9"/>
  <c r="U115" i="9"/>
  <c r="T115" i="9"/>
  <c r="S115" i="9"/>
  <c r="R115" i="9"/>
  <c r="Q115" i="9"/>
  <c r="P115" i="9"/>
  <c r="O115" i="9"/>
  <c r="N115" i="9"/>
  <c r="M115" i="9"/>
  <c r="V115" i="9" s="1"/>
  <c r="K115" i="9"/>
  <c r="J115" i="9"/>
  <c r="I115" i="9"/>
  <c r="H115" i="9"/>
  <c r="G115" i="9"/>
  <c r="F115" i="9"/>
  <c r="E115" i="9"/>
  <c r="D115" i="9"/>
  <c r="L115" i="9" s="1"/>
  <c r="C115" i="9"/>
  <c r="AA114" i="9"/>
  <c r="Y114" i="9"/>
  <c r="U114" i="9"/>
  <c r="T114" i="9"/>
  <c r="S114" i="9"/>
  <c r="R114" i="9"/>
  <c r="Q114" i="9"/>
  <c r="P114" i="9"/>
  <c r="O114" i="9"/>
  <c r="N114" i="9"/>
  <c r="V114" i="9" s="1"/>
  <c r="W114" i="9" s="1"/>
  <c r="X114" i="9" s="1"/>
  <c r="AB114" i="9" s="1"/>
  <c r="M114" i="9"/>
  <c r="K114" i="9"/>
  <c r="J114" i="9"/>
  <c r="I114" i="9"/>
  <c r="H114" i="9"/>
  <c r="G114" i="9"/>
  <c r="F114" i="9"/>
  <c r="E114" i="9"/>
  <c r="D114" i="9"/>
  <c r="C114" i="9"/>
  <c r="L114" i="9" s="1"/>
  <c r="AA113" i="9"/>
  <c r="Y113" i="9"/>
  <c r="U113" i="9"/>
  <c r="T113" i="9"/>
  <c r="S113" i="9"/>
  <c r="R113" i="9"/>
  <c r="Q113" i="9"/>
  <c r="P113" i="9"/>
  <c r="O113" i="9"/>
  <c r="N113" i="9"/>
  <c r="M113" i="9"/>
  <c r="V113" i="9" s="1"/>
  <c r="K113" i="9"/>
  <c r="J113" i="9"/>
  <c r="I113" i="9"/>
  <c r="H113" i="9"/>
  <c r="G113" i="9"/>
  <c r="F113" i="9"/>
  <c r="E113" i="9"/>
  <c r="D113" i="9"/>
  <c r="C113" i="9"/>
  <c r="AA112" i="9"/>
  <c r="Y112" i="9"/>
  <c r="U112" i="9"/>
  <c r="T112" i="9"/>
  <c r="S112" i="9"/>
  <c r="R112" i="9"/>
  <c r="Q112" i="9"/>
  <c r="P112" i="9"/>
  <c r="O112" i="9"/>
  <c r="N112" i="9"/>
  <c r="M112" i="9"/>
  <c r="K112" i="9"/>
  <c r="J112" i="9"/>
  <c r="I112" i="9"/>
  <c r="H112" i="9"/>
  <c r="G112" i="9"/>
  <c r="F112" i="9"/>
  <c r="E112" i="9"/>
  <c r="D112" i="9"/>
  <c r="C112" i="9"/>
  <c r="L112" i="9" s="1"/>
  <c r="AA111" i="9"/>
  <c r="Y111" i="9"/>
  <c r="U111" i="9"/>
  <c r="T111" i="9"/>
  <c r="S111" i="9"/>
  <c r="R111" i="9"/>
  <c r="Q111" i="9"/>
  <c r="P111" i="9"/>
  <c r="O111" i="9"/>
  <c r="N111" i="9"/>
  <c r="M111" i="9"/>
  <c r="V111" i="9" s="1"/>
  <c r="K111" i="9"/>
  <c r="J111" i="9"/>
  <c r="I111" i="9"/>
  <c r="H111" i="9"/>
  <c r="G111" i="9"/>
  <c r="F111" i="9"/>
  <c r="E111" i="9"/>
  <c r="D111" i="9"/>
  <c r="L111" i="9" s="1"/>
  <c r="C111" i="9"/>
  <c r="AA110" i="9"/>
  <c r="Y110" i="9"/>
  <c r="U110" i="9"/>
  <c r="T110" i="9"/>
  <c r="S110" i="9"/>
  <c r="R110" i="9"/>
  <c r="Q110" i="9"/>
  <c r="P110" i="9"/>
  <c r="K110" i="9"/>
  <c r="J110" i="9"/>
  <c r="I110" i="9"/>
  <c r="G110" i="9"/>
  <c r="F110" i="9"/>
  <c r="E110" i="9"/>
  <c r="D110" i="9"/>
  <c r="C110" i="9"/>
  <c r="AA109" i="9"/>
  <c r="Y109" i="9"/>
  <c r="U109" i="9"/>
  <c r="T109" i="9"/>
  <c r="S109" i="9"/>
  <c r="R109" i="9"/>
  <c r="Q109" i="9"/>
  <c r="P109" i="9"/>
  <c r="O109" i="9"/>
  <c r="K109" i="9"/>
  <c r="J109" i="9"/>
  <c r="I109" i="9"/>
  <c r="H109" i="9"/>
  <c r="G109" i="9"/>
  <c r="F109" i="9"/>
  <c r="E109" i="9"/>
  <c r="D109" i="9"/>
  <c r="C109" i="9"/>
  <c r="AA108" i="9"/>
  <c r="Y108" i="9"/>
  <c r="U108" i="9"/>
  <c r="T108" i="9"/>
  <c r="S108" i="9"/>
  <c r="R108" i="9"/>
  <c r="Q108" i="9"/>
  <c r="P108" i="9"/>
  <c r="K108" i="9"/>
  <c r="J108" i="9"/>
  <c r="I108" i="9"/>
  <c r="H108" i="9"/>
  <c r="G108" i="9"/>
  <c r="F108" i="9"/>
  <c r="E108" i="9"/>
  <c r="D108" i="9"/>
  <c r="C108" i="9"/>
  <c r="L108" i="9" s="1"/>
  <c r="AA107" i="9"/>
  <c r="Y107" i="9"/>
  <c r="U107" i="9"/>
  <c r="T107" i="9"/>
  <c r="S107" i="9"/>
  <c r="R107" i="9"/>
  <c r="Q107" i="9"/>
  <c r="P107" i="9"/>
  <c r="M107" i="9"/>
  <c r="K107" i="9"/>
  <c r="J107" i="9"/>
  <c r="I107" i="9"/>
  <c r="G107" i="9"/>
  <c r="F107" i="9"/>
  <c r="E107" i="9"/>
  <c r="D107" i="9"/>
  <c r="AA106" i="9"/>
  <c r="Y106" i="9"/>
  <c r="U106" i="9"/>
  <c r="T106" i="9"/>
  <c r="S106" i="9"/>
  <c r="R106" i="9"/>
  <c r="Q106" i="9"/>
  <c r="P106" i="9"/>
  <c r="K106" i="9"/>
  <c r="J106" i="9"/>
  <c r="I106" i="9"/>
  <c r="G106" i="9"/>
  <c r="F106" i="9"/>
  <c r="E106" i="9"/>
  <c r="D106" i="9"/>
  <c r="C106" i="9"/>
  <c r="AA105" i="9"/>
  <c r="Y105" i="9"/>
  <c r="U105" i="9"/>
  <c r="T105" i="9"/>
  <c r="R105" i="9"/>
  <c r="Q105" i="9"/>
  <c r="P105" i="9"/>
  <c r="O105" i="9"/>
  <c r="M105" i="9"/>
  <c r="K105" i="9"/>
  <c r="J105" i="9"/>
  <c r="H105" i="9"/>
  <c r="G105" i="9"/>
  <c r="F105" i="9"/>
  <c r="E105" i="9"/>
  <c r="D105" i="9"/>
  <c r="C105" i="9"/>
  <c r="AA104" i="9"/>
  <c r="Y104" i="9"/>
  <c r="U104" i="9"/>
  <c r="T104" i="9"/>
  <c r="S104" i="9"/>
  <c r="R104" i="9"/>
  <c r="Q104" i="9"/>
  <c r="P104" i="9"/>
  <c r="O104" i="9"/>
  <c r="N104" i="9"/>
  <c r="K104" i="9"/>
  <c r="J104" i="9"/>
  <c r="I104" i="9"/>
  <c r="G104" i="9"/>
  <c r="F104" i="9"/>
  <c r="E104" i="9"/>
  <c r="D104" i="9"/>
  <c r="C104" i="9"/>
  <c r="AA103" i="9"/>
  <c r="Y103" i="9"/>
  <c r="U103" i="9"/>
  <c r="T103" i="9"/>
  <c r="S103" i="9"/>
  <c r="R103" i="9"/>
  <c r="Q103" i="9"/>
  <c r="P103" i="9"/>
  <c r="O103" i="9"/>
  <c r="N103" i="9"/>
  <c r="K103" i="9"/>
  <c r="J103" i="9"/>
  <c r="I103" i="9"/>
  <c r="H103" i="9"/>
  <c r="G103" i="9"/>
  <c r="F103" i="9"/>
  <c r="E103" i="9"/>
  <c r="D103" i="9"/>
  <c r="L103" i="9" s="1"/>
  <c r="C103" i="9"/>
  <c r="AA102" i="9"/>
  <c r="Y102" i="9"/>
  <c r="U102" i="9"/>
  <c r="T102" i="9"/>
  <c r="S102" i="9"/>
  <c r="R102" i="9"/>
  <c r="Q102" i="9"/>
  <c r="P102" i="9"/>
  <c r="O102" i="9"/>
  <c r="N102" i="9"/>
  <c r="V102" i="9" s="1"/>
  <c r="W102" i="9" s="1"/>
  <c r="X102" i="9" s="1"/>
  <c r="AB102" i="9" s="1"/>
  <c r="K102" i="9"/>
  <c r="J102" i="9"/>
  <c r="I102" i="9"/>
  <c r="H102" i="9"/>
  <c r="G102" i="9"/>
  <c r="F102" i="9"/>
  <c r="E102" i="9"/>
  <c r="D102" i="9"/>
  <c r="C102" i="9"/>
  <c r="L102" i="9" s="1"/>
  <c r="AA101" i="9"/>
  <c r="Y101" i="9"/>
  <c r="U101" i="9"/>
  <c r="T101" i="9"/>
  <c r="S101" i="9"/>
  <c r="R101" i="9"/>
  <c r="Q101" i="9"/>
  <c r="P101" i="9"/>
  <c r="O101" i="9"/>
  <c r="M101" i="9"/>
  <c r="K101" i="9"/>
  <c r="J101" i="9"/>
  <c r="I101" i="9"/>
  <c r="G101" i="9"/>
  <c r="F101" i="9"/>
  <c r="E101" i="9"/>
  <c r="D101" i="9"/>
  <c r="C101" i="9"/>
  <c r="AA100" i="9"/>
  <c r="Y100" i="9"/>
  <c r="U100" i="9"/>
  <c r="T100" i="9"/>
  <c r="S100" i="9"/>
  <c r="R100" i="9"/>
  <c r="Q100" i="9"/>
  <c r="P100" i="9"/>
  <c r="O100" i="9"/>
  <c r="N100" i="9"/>
  <c r="V100" i="9" s="1"/>
  <c r="W100" i="9" s="1"/>
  <c r="X100" i="9" s="1"/>
  <c r="AB100" i="9" s="1"/>
  <c r="M100" i="9"/>
  <c r="K100" i="9"/>
  <c r="J100" i="9"/>
  <c r="I100" i="9"/>
  <c r="H100" i="9"/>
  <c r="G100" i="9"/>
  <c r="F100" i="9"/>
  <c r="E100" i="9"/>
  <c r="D100" i="9"/>
  <c r="C100" i="9"/>
  <c r="L100" i="9" s="1"/>
  <c r="AA99" i="9"/>
  <c r="Y99" i="9"/>
  <c r="U99" i="9"/>
  <c r="T99" i="9"/>
  <c r="S99" i="9"/>
  <c r="R99" i="9"/>
  <c r="Q99" i="9"/>
  <c r="P99" i="9"/>
  <c r="O99" i="9"/>
  <c r="N99" i="9"/>
  <c r="M99" i="9"/>
  <c r="K99" i="9"/>
  <c r="J99" i="9"/>
  <c r="I99" i="9"/>
  <c r="H99" i="9"/>
  <c r="G99" i="9"/>
  <c r="F99" i="9"/>
  <c r="E99" i="9"/>
  <c r="D99" i="9"/>
  <c r="L99" i="9" s="1"/>
  <c r="C99" i="9"/>
  <c r="U97" i="9"/>
  <c r="U121" i="9" s="1"/>
  <c r="T97" i="9"/>
  <c r="S97" i="9"/>
  <c r="R97" i="9"/>
  <c r="Q97" i="9"/>
  <c r="Q121" i="9" s="1"/>
  <c r="P97" i="9"/>
  <c r="K97" i="9"/>
  <c r="J97" i="9"/>
  <c r="G97" i="9"/>
  <c r="G121" i="9" s="1"/>
  <c r="F97" i="9"/>
  <c r="E97" i="9"/>
  <c r="D97" i="9"/>
  <c r="D121" i="9" s="1"/>
  <c r="C97" i="9"/>
  <c r="B89" i="9"/>
  <c r="B113" i="9" s="1"/>
  <c r="O86" i="9"/>
  <c r="O110" i="9" s="1"/>
  <c r="H86" i="9"/>
  <c r="B86" i="9"/>
  <c r="B110" i="9" s="1"/>
  <c r="M85" i="9"/>
  <c r="H85" i="9"/>
  <c r="B85" i="9"/>
  <c r="B109" i="9" s="1"/>
  <c r="O83" i="9"/>
  <c r="O107" i="9" s="1"/>
  <c r="N83" i="9"/>
  <c r="N84" i="9" s="1"/>
  <c r="N108" i="9" s="1"/>
  <c r="O82" i="9"/>
  <c r="M82" i="9"/>
  <c r="H82" i="9"/>
  <c r="H106" i="9" s="1"/>
  <c r="N81" i="9"/>
  <c r="N82" i="9" s="1"/>
  <c r="N106" i="9" s="1"/>
  <c r="M81" i="9"/>
  <c r="M84" i="9" s="1"/>
  <c r="I81" i="9"/>
  <c r="I97" i="9" s="1"/>
  <c r="I121" i="9" s="1"/>
  <c r="M80" i="9"/>
  <c r="M79" i="9"/>
  <c r="N78" i="9"/>
  <c r="M78" i="9"/>
  <c r="N77" i="9"/>
  <c r="N101" i="9" s="1"/>
  <c r="H77" i="9"/>
  <c r="H80" i="9" s="1"/>
  <c r="H83" i="9" s="1"/>
  <c r="U73" i="9"/>
  <c r="T73" i="9"/>
  <c r="R73" i="9"/>
  <c r="Q73" i="9"/>
  <c r="P73" i="9"/>
  <c r="O73" i="9"/>
  <c r="N73" i="9"/>
  <c r="K73" i="9"/>
  <c r="J73" i="9"/>
  <c r="J121" i="9" s="1"/>
  <c r="I73" i="9"/>
  <c r="G73" i="9"/>
  <c r="F73" i="9"/>
  <c r="F121" i="9" s="1"/>
  <c r="E73" i="9"/>
  <c r="E121" i="9" s="1"/>
  <c r="D73" i="9"/>
  <c r="B72" i="9"/>
  <c r="B96" i="9" s="1"/>
  <c r="B120" i="9" s="1"/>
  <c r="C70" i="9"/>
  <c r="C118" i="9" s="1"/>
  <c r="B70" i="9"/>
  <c r="B94" i="9" s="1"/>
  <c r="B118" i="9" s="1"/>
  <c r="B69" i="9"/>
  <c r="B93" i="9" s="1"/>
  <c r="B117" i="9" s="1"/>
  <c r="B66" i="9"/>
  <c r="B90" i="9" s="1"/>
  <c r="B114" i="9" s="1"/>
  <c r="B65" i="9"/>
  <c r="H62" i="9"/>
  <c r="H110" i="9" s="1"/>
  <c r="B62" i="9"/>
  <c r="H61" i="9"/>
  <c r="B61" i="9"/>
  <c r="B60" i="9"/>
  <c r="B84" i="9" s="1"/>
  <c r="B108" i="9" s="1"/>
  <c r="M58" i="9"/>
  <c r="C58" i="9"/>
  <c r="C59" i="9" s="1"/>
  <c r="C107" i="9" s="1"/>
  <c r="S57" i="9"/>
  <c r="S105" i="9" s="1"/>
  <c r="M56" i="9"/>
  <c r="M104" i="9" s="1"/>
  <c r="V104" i="9" s="1"/>
  <c r="M55" i="9"/>
  <c r="M103" i="9" s="1"/>
  <c r="V103" i="9" s="1"/>
  <c r="W103" i="9" s="1"/>
  <c r="X103" i="9" s="1"/>
  <c r="AB103" i="9" s="1"/>
  <c r="M54" i="9"/>
  <c r="M102" i="9" s="1"/>
  <c r="B54" i="9"/>
  <c r="B78" i="9" s="1"/>
  <c r="B102" i="9" s="1"/>
  <c r="H53" i="9"/>
  <c r="H101" i="9" s="1"/>
  <c r="AB50" i="9"/>
  <c r="Y49" i="9"/>
  <c r="X49" i="9"/>
  <c r="V49" i="9"/>
  <c r="B49" i="9"/>
  <c r="B48" i="9"/>
  <c r="B71" i="9" s="1"/>
  <c r="B95" i="9" s="1"/>
  <c r="B119" i="9" s="1"/>
  <c r="B47" i="9"/>
  <c r="U46" i="9"/>
  <c r="T46" i="9"/>
  <c r="S46" i="9"/>
  <c r="R46" i="9"/>
  <c r="Q46" i="9"/>
  <c r="P46" i="9"/>
  <c r="O46" i="9"/>
  <c r="N46" i="9"/>
  <c r="M46" i="9"/>
  <c r="K46" i="9"/>
  <c r="J46" i="9"/>
  <c r="I46" i="9"/>
  <c r="H46" i="9"/>
  <c r="G46" i="9"/>
  <c r="F46" i="9"/>
  <c r="E46" i="9"/>
  <c r="D46" i="9"/>
  <c r="C46" i="9"/>
  <c r="B46" i="9"/>
  <c r="V45" i="9"/>
  <c r="B45" i="9"/>
  <c r="B68" i="9" s="1"/>
  <c r="B92" i="9" s="1"/>
  <c r="B116" i="9" s="1"/>
  <c r="B44" i="9"/>
  <c r="B67" i="9" s="1"/>
  <c r="B91" i="9" s="1"/>
  <c r="B115" i="9" s="1"/>
  <c r="B43" i="9"/>
  <c r="B42" i="9"/>
  <c r="AA41" i="9"/>
  <c r="AC41" i="9" s="1"/>
  <c r="Z41" i="9"/>
  <c r="Y41" i="9"/>
  <c r="X41" i="9"/>
  <c r="V41" i="9"/>
  <c r="B41" i="9"/>
  <c r="B64" i="9" s="1"/>
  <c r="B88" i="9" s="1"/>
  <c r="B112" i="9" s="1"/>
  <c r="AA40" i="9"/>
  <c r="AC40" i="9" s="1"/>
  <c r="Z40" i="9"/>
  <c r="Y40" i="9"/>
  <c r="X40" i="9"/>
  <c r="B40" i="9"/>
  <c r="B63" i="9" s="1"/>
  <c r="B87" i="9" s="1"/>
  <c r="B111" i="9" s="1"/>
  <c r="AA39" i="9"/>
  <c r="AC39" i="9" s="1"/>
  <c r="Z39" i="9"/>
  <c r="Y39" i="9"/>
  <c r="X39" i="9"/>
  <c r="U39" i="9"/>
  <c r="T39" i="9"/>
  <c r="S39" i="9"/>
  <c r="R39" i="9"/>
  <c r="Q39" i="9"/>
  <c r="P39" i="9"/>
  <c r="O39" i="9"/>
  <c r="N39" i="9"/>
  <c r="M39" i="9"/>
  <c r="K39" i="9"/>
  <c r="J39" i="9"/>
  <c r="I39" i="9"/>
  <c r="H39" i="9"/>
  <c r="G39" i="9"/>
  <c r="F39" i="9"/>
  <c r="E39" i="9"/>
  <c r="D39" i="9"/>
  <c r="C39" i="9"/>
  <c r="B39" i="9"/>
  <c r="AA38" i="9"/>
  <c r="AC38" i="9" s="1"/>
  <c r="B38" i="9"/>
  <c r="AC37" i="9"/>
  <c r="Z37" i="9"/>
  <c r="Y37" i="9"/>
  <c r="X37" i="9"/>
  <c r="AA37" i="9" s="1"/>
  <c r="B37" i="9"/>
  <c r="Z36" i="9"/>
  <c r="Y36" i="9"/>
  <c r="AA36" i="9" s="1"/>
  <c r="AC36" i="9" s="1"/>
  <c r="X36" i="9"/>
  <c r="B36" i="9"/>
  <c r="B59" i="9" s="1"/>
  <c r="B83" i="9" s="1"/>
  <c r="B107" i="9" s="1"/>
  <c r="AC35" i="9"/>
  <c r="Z35" i="9"/>
  <c r="Y35" i="9"/>
  <c r="X35" i="9"/>
  <c r="AA35" i="9" s="1"/>
  <c r="B35" i="9"/>
  <c r="B58" i="9" s="1"/>
  <c r="B82" i="9" s="1"/>
  <c r="B106" i="9" s="1"/>
  <c r="Z34" i="9"/>
  <c r="Y34" i="9"/>
  <c r="X34" i="9"/>
  <c r="AA34" i="9" s="1"/>
  <c r="AC34" i="9" s="1"/>
  <c r="B34" i="9"/>
  <c r="B57" i="9" s="1"/>
  <c r="B81" i="9" s="1"/>
  <c r="B105" i="9" s="1"/>
  <c r="AC33" i="9"/>
  <c r="Y33" i="9"/>
  <c r="X33" i="9"/>
  <c r="AA33" i="9" s="1"/>
  <c r="B33" i="9"/>
  <c r="B56" i="9" s="1"/>
  <c r="B80" i="9" s="1"/>
  <c r="B104" i="9" s="1"/>
  <c r="AA32" i="9"/>
  <c r="AC32" i="9" s="1"/>
  <c r="Z32" i="9"/>
  <c r="Y32" i="9"/>
  <c r="X32" i="9"/>
  <c r="B32" i="9"/>
  <c r="B55" i="9" s="1"/>
  <c r="B79" i="9" s="1"/>
  <c r="B103" i="9" s="1"/>
  <c r="AA31" i="9"/>
  <c r="AC31" i="9" s="1"/>
  <c r="Z31" i="9"/>
  <c r="Y31" i="9"/>
  <c r="X31" i="9"/>
  <c r="B31" i="9"/>
  <c r="AA30" i="9"/>
  <c r="AC30" i="9" s="1"/>
  <c r="Z30" i="9"/>
  <c r="Y30" i="9"/>
  <c r="X30" i="9"/>
  <c r="B30" i="9"/>
  <c r="B53" i="9" s="1"/>
  <c r="B77" i="9" s="1"/>
  <c r="B101" i="9" s="1"/>
  <c r="AA29" i="9"/>
  <c r="AC29" i="9" s="1"/>
  <c r="Z29" i="9"/>
  <c r="Y29" i="9"/>
  <c r="X29" i="9"/>
  <c r="B29" i="9"/>
  <c r="B52" i="9" s="1"/>
  <c r="B76" i="9" s="1"/>
  <c r="B100" i="9" s="1"/>
  <c r="A29" i="9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A28" i="9"/>
  <c r="Z28" i="9"/>
  <c r="Z50" i="9" s="1"/>
  <c r="Y28" i="9"/>
  <c r="Y50" i="9" s="1"/>
  <c r="X28" i="9"/>
  <c r="B28" i="9"/>
  <c r="B51" i="9" s="1"/>
  <c r="B75" i="9" s="1"/>
  <c r="B99" i="9" s="1"/>
  <c r="V24" i="9"/>
  <c r="L24" i="9"/>
  <c r="V23" i="9"/>
  <c r="L23" i="9"/>
  <c r="V22" i="9"/>
  <c r="L22" i="9"/>
  <c r="V21" i="9"/>
  <c r="L21" i="9"/>
  <c r="V20" i="9"/>
  <c r="L20" i="9"/>
  <c r="V19" i="9"/>
  <c r="L19" i="9"/>
  <c r="V18" i="9"/>
  <c r="L18" i="9"/>
  <c r="V17" i="9"/>
  <c r="L17" i="9"/>
  <c r="V16" i="9"/>
  <c r="L16" i="9"/>
  <c r="V15" i="9"/>
  <c r="L15" i="9"/>
  <c r="V14" i="9"/>
  <c r="L14" i="9"/>
  <c r="W14" i="9" s="1"/>
  <c r="V13" i="9"/>
  <c r="W13" i="9" s="1"/>
  <c r="L13" i="9"/>
  <c r="V12" i="9"/>
  <c r="L12" i="9"/>
  <c r="V11" i="9"/>
  <c r="L11" i="9"/>
  <c r="V10" i="9"/>
  <c r="L10" i="9"/>
  <c r="V9" i="9"/>
  <c r="L9" i="9"/>
  <c r="V8" i="9"/>
  <c r="L8" i="9"/>
  <c r="V7" i="9"/>
  <c r="L7" i="9"/>
  <c r="V6" i="9"/>
  <c r="L6" i="9"/>
  <c r="V5" i="9"/>
  <c r="V4" i="9"/>
  <c r="L4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V3" i="9"/>
  <c r="L3" i="9"/>
  <c r="W40" i="10" l="1"/>
  <c r="AA9" i="10"/>
  <c r="Y7" i="10"/>
  <c r="Z7" i="10" s="1"/>
  <c r="AA4" i="10"/>
  <c r="W41" i="10"/>
  <c r="AA8" i="10"/>
  <c r="W33" i="10"/>
  <c r="Y3" i="10"/>
  <c r="Z3" i="10" s="1"/>
  <c r="W31" i="10"/>
  <c r="W37" i="10"/>
  <c r="Y10" i="10"/>
  <c r="Z10" i="10" s="1"/>
  <c r="Y20" i="10"/>
  <c r="Z20" i="10" s="1"/>
  <c r="AA23" i="10"/>
  <c r="W43" i="10"/>
  <c r="N106" i="10"/>
  <c r="N85" i="10"/>
  <c r="N109" i="10" s="1"/>
  <c r="AA13" i="10"/>
  <c r="Y13" i="10"/>
  <c r="Z13" i="10" s="1"/>
  <c r="AA50" i="10"/>
  <c r="O97" i="10"/>
  <c r="O121" i="10" s="1"/>
  <c r="AA17" i="10"/>
  <c r="Y17" i="10"/>
  <c r="Z17" i="10" s="1"/>
  <c r="M106" i="10"/>
  <c r="V106" i="10" s="1"/>
  <c r="W106" i="10" s="1"/>
  <c r="X106" i="10" s="1"/>
  <c r="AB106" i="10" s="1"/>
  <c r="M61" i="10"/>
  <c r="N97" i="10"/>
  <c r="N121" i="10" s="1"/>
  <c r="H104" i="10"/>
  <c r="L104" i="10" s="1"/>
  <c r="W104" i="10" s="1"/>
  <c r="X104" i="10" s="1"/>
  <c r="AB104" i="10" s="1"/>
  <c r="H59" i="10"/>
  <c r="AC50" i="10"/>
  <c r="W11" i="9"/>
  <c r="Y11" i="9" s="1"/>
  <c r="Z11" i="9" s="1"/>
  <c r="L36" i="9"/>
  <c r="W7" i="9"/>
  <c r="Y7" i="9" s="1"/>
  <c r="Z7" i="9" s="1"/>
  <c r="L32" i="9"/>
  <c r="W19" i="9"/>
  <c r="W16" i="9"/>
  <c r="Y16" i="9" s="1"/>
  <c r="Z16" i="9" s="1"/>
  <c r="V30" i="9"/>
  <c r="W5" i="9"/>
  <c r="Y5" i="9" s="1"/>
  <c r="Z5" i="9" s="1"/>
  <c r="L30" i="9"/>
  <c r="W9" i="9"/>
  <c r="L34" i="9"/>
  <c r="L29" i="9"/>
  <c r="W23" i="9"/>
  <c r="L39" i="9"/>
  <c r="L38" i="9"/>
  <c r="L31" i="9"/>
  <c r="L37" i="9"/>
  <c r="V28" i="9"/>
  <c r="W28" i="9" s="1"/>
  <c r="V29" i="9"/>
  <c r="V33" i="9"/>
  <c r="W33" i="9" s="1"/>
  <c r="V44" i="9"/>
  <c r="V48" i="9"/>
  <c r="W3" i="9"/>
  <c r="Y3" i="9" s="1"/>
  <c r="Z3" i="9" s="1"/>
  <c r="W6" i="9"/>
  <c r="W8" i="9"/>
  <c r="Y8" i="9" s="1"/>
  <c r="Z8" i="9" s="1"/>
  <c r="W10" i="9"/>
  <c r="W15" i="9"/>
  <c r="W18" i="9"/>
  <c r="W20" i="9"/>
  <c r="AA20" i="9" s="1"/>
  <c r="W22" i="9"/>
  <c r="V32" i="9"/>
  <c r="V37" i="9"/>
  <c r="V39" i="9"/>
  <c r="W39" i="9" s="1"/>
  <c r="W17" i="9"/>
  <c r="V31" i="9"/>
  <c r="W24" i="9"/>
  <c r="Y24" i="9" s="1"/>
  <c r="Z24" i="9" s="1"/>
  <c r="L46" i="9"/>
  <c r="W49" i="9"/>
  <c r="W41" i="9"/>
  <c r="W30" i="9"/>
  <c r="L101" i="9"/>
  <c r="AA9" i="9"/>
  <c r="W12" i="9"/>
  <c r="Y12" i="9" s="1"/>
  <c r="Z12" i="9" s="1"/>
  <c r="W21" i="9"/>
  <c r="AA21" i="9" s="1"/>
  <c r="AA23" i="9"/>
  <c r="AA50" i="9"/>
  <c r="AC28" i="9"/>
  <c r="AC50" i="9" s="1"/>
  <c r="V34" i="9"/>
  <c r="W34" i="9" s="1"/>
  <c r="V35" i="9"/>
  <c r="AA13" i="9"/>
  <c r="W4" i="9"/>
  <c r="AA10" i="9"/>
  <c r="AA14" i="9"/>
  <c r="X50" i="9"/>
  <c r="V36" i="9"/>
  <c r="V38" i="9"/>
  <c r="W38" i="9" s="1"/>
  <c r="C73" i="9"/>
  <c r="M108" i="9"/>
  <c r="M86" i="9"/>
  <c r="M110" i="9" s="1"/>
  <c r="V110" i="9" s="1"/>
  <c r="W110" i="9" s="1"/>
  <c r="X110" i="9" s="1"/>
  <c r="AB110" i="9" s="1"/>
  <c r="H97" i="9"/>
  <c r="P121" i="9"/>
  <c r="T121" i="9"/>
  <c r="V99" i="9"/>
  <c r="W99" i="9" s="1"/>
  <c r="X99" i="9" s="1"/>
  <c r="AB99" i="9" s="1"/>
  <c r="L110" i="9"/>
  <c r="W111" i="9"/>
  <c r="X111" i="9" s="1"/>
  <c r="AB111" i="9" s="1"/>
  <c r="W115" i="9"/>
  <c r="X115" i="9" s="1"/>
  <c r="W119" i="9"/>
  <c r="X119" i="9" s="1"/>
  <c r="M106" i="9"/>
  <c r="M61" i="9"/>
  <c r="M109" i="9" s="1"/>
  <c r="V40" i="9"/>
  <c r="W40" i="9" s="1"/>
  <c r="V42" i="9"/>
  <c r="W45" i="9"/>
  <c r="V46" i="9"/>
  <c r="W46" i="9" s="1"/>
  <c r="S73" i="9"/>
  <c r="N86" i="9"/>
  <c r="N110" i="9" s="1"/>
  <c r="V105" i="9"/>
  <c r="V112" i="9"/>
  <c r="W112" i="9" s="1"/>
  <c r="X112" i="9" s="1"/>
  <c r="AB112" i="9" s="1"/>
  <c r="V116" i="9"/>
  <c r="W116" i="9" s="1"/>
  <c r="X116" i="9" s="1"/>
  <c r="C121" i="9"/>
  <c r="S121" i="9"/>
  <c r="V43" i="9"/>
  <c r="W43" i="9" s="1"/>
  <c r="W44" i="9"/>
  <c r="V47" i="9"/>
  <c r="W47" i="9" s="1"/>
  <c r="W48" i="9"/>
  <c r="H56" i="9"/>
  <c r="L118" i="9"/>
  <c r="O84" i="9"/>
  <c r="O108" i="9" s="1"/>
  <c r="N85" i="9"/>
  <c r="N109" i="9" s="1"/>
  <c r="K121" i="9"/>
  <c r="V101" i="9"/>
  <c r="I105" i="9"/>
  <c r="L105" i="9" s="1"/>
  <c r="L106" i="9"/>
  <c r="O106" i="9"/>
  <c r="L109" i="9"/>
  <c r="L113" i="9"/>
  <c r="W113" i="9" s="1"/>
  <c r="X113" i="9" s="1"/>
  <c r="AB113" i="9" s="1"/>
  <c r="W118" i="9"/>
  <c r="X118" i="9" s="1"/>
  <c r="M73" i="9"/>
  <c r="N97" i="9"/>
  <c r="N121" i="9" s="1"/>
  <c r="N105" i="9"/>
  <c r="N107" i="9"/>
  <c r="V107" i="9" s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4" i="7"/>
  <c r="G3" i="7"/>
  <c r="G2" i="7"/>
  <c r="F2" i="7"/>
  <c r="F4" i="7"/>
  <c r="F7" i="7"/>
  <c r="F12" i="7"/>
  <c r="F13" i="7"/>
  <c r="F6" i="7"/>
  <c r="F8" i="7"/>
  <c r="F5" i="7"/>
  <c r="F15" i="7"/>
  <c r="F16" i="7"/>
  <c r="F10" i="7"/>
  <c r="F9" i="7"/>
  <c r="F11" i="7"/>
  <c r="F14" i="7"/>
  <c r="F19" i="7"/>
  <c r="F20" i="7"/>
  <c r="F18" i="7"/>
  <c r="F17" i="7"/>
  <c r="F21" i="7"/>
  <c r="F23" i="7"/>
  <c r="F22" i="7"/>
  <c r="F3" i="7"/>
  <c r="AC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M109" i="10" l="1"/>
  <c r="V109" i="10" s="1"/>
  <c r="W109" i="10" s="1"/>
  <c r="X109" i="10" s="1"/>
  <c r="AB109" i="10" s="1"/>
  <c r="M73" i="10"/>
  <c r="M121" i="10" s="1"/>
  <c r="H107" i="10"/>
  <c r="L107" i="10" s="1"/>
  <c r="W107" i="10" s="1"/>
  <c r="X107" i="10" s="1"/>
  <c r="AB107" i="10" s="1"/>
  <c r="AB115" i="10" s="1"/>
  <c r="H73" i="10"/>
  <c r="H121" i="10" s="1"/>
  <c r="AA24" i="9"/>
  <c r="AA15" i="9"/>
  <c r="Y15" i="9"/>
  <c r="Z15" i="9" s="1"/>
  <c r="AA8" i="9"/>
  <c r="AA11" i="9"/>
  <c r="W36" i="9"/>
  <c r="AA7" i="9"/>
  <c r="W32" i="9"/>
  <c r="AA19" i="9"/>
  <c r="Y19" i="9"/>
  <c r="Z19" i="9" s="1"/>
  <c r="AA16" i="9"/>
  <c r="AA22" i="9"/>
  <c r="Y22" i="9"/>
  <c r="Z22" i="9" s="1"/>
  <c r="AA5" i="9"/>
  <c r="W29" i="9"/>
  <c r="AA18" i="9"/>
  <c r="AA17" i="9"/>
  <c r="AA6" i="9"/>
  <c r="W31" i="9"/>
  <c r="W37" i="9"/>
  <c r="W42" i="9"/>
  <c r="W35" i="9"/>
  <c r="H59" i="9"/>
  <c r="H104" i="9"/>
  <c r="L104" i="9" s="1"/>
  <c r="W104" i="9" s="1"/>
  <c r="X104" i="9" s="1"/>
  <c r="AB104" i="9" s="1"/>
  <c r="V109" i="9"/>
  <c r="W109" i="9" s="1"/>
  <c r="X109" i="9" s="1"/>
  <c r="AB109" i="9" s="1"/>
  <c r="V108" i="9"/>
  <c r="W108" i="9" s="1"/>
  <c r="X108" i="9" s="1"/>
  <c r="AB108" i="9" s="1"/>
  <c r="V106" i="9"/>
  <c r="W106" i="9" s="1"/>
  <c r="X106" i="9" s="1"/>
  <c r="AB106" i="9" s="1"/>
  <c r="AA4" i="9"/>
  <c r="AA12" i="9"/>
  <c r="W105" i="9"/>
  <c r="X105" i="9" s="1"/>
  <c r="AB105" i="9" s="1"/>
  <c r="M97" i="9"/>
  <c r="M121" i="9" s="1"/>
  <c r="W101" i="9"/>
  <c r="X101" i="9" s="1"/>
  <c r="AB101" i="9" s="1"/>
  <c r="O97" i="9"/>
  <c r="O121" i="9" s="1"/>
  <c r="AG5" i="7"/>
  <c r="AD8" i="7"/>
  <c r="AE8" i="7" s="1"/>
  <c r="AD9" i="7"/>
  <c r="AE9" i="7" s="1"/>
  <c r="AD10" i="7"/>
  <c r="AE10" i="7" s="1"/>
  <c r="AG12" i="7"/>
  <c r="AD13" i="7"/>
  <c r="AE13" i="7" s="1"/>
  <c r="AD16" i="7"/>
  <c r="AE16" i="7" s="1"/>
  <c r="AG17" i="7"/>
  <c r="AD20" i="7"/>
  <c r="AE20" i="7" s="1"/>
  <c r="AD21" i="7"/>
  <c r="AE21" i="7" s="1"/>
  <c r="AD22" i="7"/>
  <c r="AE22" i="7" s="1"/>
  <c r="AC23" i="7"/>
  <c r="AD23" i="7" s="1"/>
  <c r="AE23" i="7" s="1"/>
  <c r="AG4" i="7"/>
  <c r="AD6" i="7"/>
  <c r="AD18" i="7"/>
  <c r="AE18" i="7" s="1"/>
  <c r="AD14" i="7"/>
  <c r="AE14" i="7" s="1"/>
  <c r="AD2" i="7"/>
  <c r="AE2" i="7" s="1"/>
  <c r="AE4" i="7"/>
  <c r="AE5" i="7"/>
  <c r="AD3" i="7"/>
  <c r="AE3" i="7" s="1"/>
  <c r="AD7" i="7"/>
  <c r="AE7" i="7" s="1"/>
  <c r="AD11" i="7"/>
  <c r="AE11" i="7" s="1"/>
  <c r="AD15" i="7"/>
  <c r="AE15" i="7" s="1"/>
  <c r="AD19" i="7"/>
  <c r="AE19" i="7" s="1"/>
  <c r="AG19" i="7"/>
  <c r="AG15" i="7"/>
  <c r="AG11" i="7"/>
  <c r="AG7" i="7"/>
  <c r="AG3" i="7"/>
  <c r="AA24" i="1"/>
  <c r="AA23" i="1"/>
  <c r="AA22" i="1"/>
  <c r="AA21" i="1"/>
  <c r="AA20" i="1"/>
  <c r="AA19" i="1"/>
  <c r="AA18" i="1"/>
  <c r="AA17" i="1"/>
  <c r="AA16" i="1"/>
  <c r="AA15" i="1"/>
  <c r="AA14" i="1"/>
  <c r="AA13" i="1"/>
  <c r="S38" i="1"/>
  <c r="Q38" i="1"/>
  <c r="K38" i="1"/>
  <c r="I38" i="1"/>
  <c r="G38" i="1"/>
  <c r="U38" i="1"/>
  <c r="T38" i="1"/>
  <c r="R38" i="1"/>
  <c r="P38" i="1"/>
  <c r="O38" i="1"/>
  <c r="N38" i="1"/>
  <c r="M38" i="1"/>
  <c r="J38" i="1"/>
  <c r="H38" i="1"/>
  <c r="F38" i="1"/>
  <c r="E38" i="1"/>
  <c r="D38" i="1"/>
  <c r="C38" i="1"/>
  <c r="Z13" i="1"/>
  <c r="U45" i="1"/>
  <c r="T45" i="1"/>
  <c r="S45" i="1"/>
  <c r="R45" i="1"/>
  <c r="Q45" i="1"/>
  <c r="P45" i="1"/>
  <c r="O45" i="1"/>
  <c r="N45" i="1"/>
  <c r="M45" i="1"/>
  <c r="U44" i="1"/>
  <c r="T44" i="1"/>
  <c r="S44" i="1"/>
  <c r="R44" i="1"/>
  <c r="Q44" i="1"/>
  <c r="P44" i="1"/>
  <c r="O44" i="1"/>
  <c r="N44" i="1"/>
  <c r="M44" i="1"/>
  <c r="U43" i="1"/>
  <c r="T43" i="1"/>
  <c r="S43" i="1"/>
  <c r="R43" i="1"/>
  <c r="Q43" i="1"/>
  <c r="P43" i="1"/>
  <c r="O43" i="1"/>
  <c r="N43" i="1"/>
  <c r="M43" i="1"/>
  <c r="U42" i="1"/>
  <c r="T42" i="1"/>
  <c r="S42" i="1"/>
  <c r="R42" i="1"/>
  <c r="Q42" i="1"/>
  <c r="P42" i="1"/>
  <c r="O42" i="1"/>
  <c r="N42" i="1"/>
  <c r="M42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C45" i="1"/>
  <c r="C44" i="1"/>
  <c r="C43" i="1"/>
  <c r="C42" i="1"/>
  <c r="V22" i="1"/>
  <c r="Y22" i="1"/>
  <c r="AB115" i="9" l="1"/>
  <c r="H107" i="9"/>
  <c r="L107" i="9" s="1"/>
  <c r="W107" i="9" s="1"/>
  <c r="X107" i="9" s="1"/>
  <c r="AB107" i="9" s="1"/>
  <c r="H73" i="9"/>
  <c r="H121" i="9" s="1"/>
  <c r="AG16" i="7"/>
  <c r="AG8" i="7"/>
  <c r="AD12" i="7"/>
  <c r="AE12" i="7" s="1"/>
  <c r="AD17" i="7"/>
  <c r="AE17" i="7" s="1"/>
  <c r="AG21" i="7"/>
  <c r="AG13" i="7"/>
  <c r="AG9" i="7"/>
  <c r="AG20" i="7"/>
  <c r="AG10" i="7"/>
  <c r="AG14" i="7"/>
  <c r="AG18" i="7"/>
  <c r="AG22" i="7"/>
  <c r="AG6" i="7"/>
  <c r="AG2" i="7"/>
  <c r="AC24" i="7"/>
  <c r="AD24" i="7"/>
  <c r="AE6" i="7"/>
  <c r="AE24" i="7" l="1"/>
  <c r="AG24" i="7"/>
  <c r="U46" i="1" l="1"/>
  <c r="T46" i="1"/>
  <c r="S46" i="1"/>
  <c r="R46" i="1"/>
  <c r="Q46" i="1"/>
  <c r="P46" i="1"/>
  <c r="O46" i="1"/>
  <c r="N46" i="1"/>
  <c r="M46" i="1"/>
  <c r="K46" i="1"/>
  <c r="J46" i="1"/>
  <c r="I46" i="1"/>
  <c r="H46" i="1"/>
  <c r="G46" i="1"/>
  <c r="F46" i="1"/>
  <c r="E46" i="1"/>
  <c r="D46" i="1"/>
  <c r="C46" i="1"/>
  <c r="Y28" i="1"/>
  <c r="E35" i="1"/>
  <c r="U41" i="1"/>
  <c r="T41" i="1"/>
  <c r="S41" i="1"/>
  <c r="R41" i="1"/>
  <c r="Q41" i="1"/>
  <c r="P41" i="1"/>
  <c r="O41" i="1"/>
  <c r="N41" i="1"/>
  <c r="M41" i="1"/>
  <c r="K41" i="1"/>
  <c r="J41" i="1"/>
  <c r="I41" i="1"/>
  <c r="H41" i="1"/>
  <c r="G41" i="1"/>
  <c r="F41" i="1"/>
  <c r="E41" i="1"/>
  <c r="D41" i="1"/>
  <c r="C41" i="1"/>
  <c r="U28" i="1"/>
  <c r="T28" i="1"/>
  <c r="S28" i="1"/>
  <c r="R28" i="1"/>
  <c r="Q28" i="1"/>
  <c r="P28" i="1"/>
  <c r="O28" i="1"/>
  <c r="N28" i="1"/>
  <c r="M28" i="1"/>
  <c r="K28" i="1"/>
  <c r="J28" i="1"/>
  <c r="I28" i="1"/>
  <c r="H28" i="1"/>
  <c r="G28" i="1"/>
  <c r="F28" i="1"/>
  <c r="E28" i="1"/>
  <c r="D28" i="1"/>
  <c r="C28" i="1"/>
  <c r="L46" i="1" l="1"/>
  <c r="L41" i="1"/>
  <c r="L28" i="1"/>
  <c r="U49" i="1"/>
  <c r="T49" i="1"/>
  <c r="S49" i="1"/>
  <c r="R49" i="1"/>
  <c r="Q49" i="1"/>
  <c r="P49" i="1"/>
  <c r="O49" i="1"/>
  <c r="N49" i="1"/>
  <c r="M49" i="1"/>
  <c r="K49" i="1"/>
  <c r="J49" i="1"/>
  <c r="I49" i="1"/>
  <c r="H49" i="1"/>
  <c r="G49" i="1"/>
  <c r="F49" i="1"/>
  <c r="E49" i="1"/>
  <c r="D49" i="1"/>
  <c r="C49" i="1"/>
  <c r="U47" i="1"/>
  <c r="U29" i="1"/>
  <c r="T47" i="1"/>
  <c r="S47" i="1"/>
  <c r="R47" i="1"/>
  <c r="Q47" i="1"/>
  <c r="P47" i="1"/>
  <c r="O47" i="1"/>
  <c r="N47" i="1"/>
  <c r="M47" i="1"/>
  <c r="K47" i="1"/>
  <c r="J47" i="1"/>
  <c r="I47" i="1"/>
  <c r="H47" i="1"/>
  <c r="G47" i="1"/>
  <c r="F47" i="1"/>
  <c r="E47" i="1"/>
  <c r="D47" i="1"/>
  <c r="C47" i="1"/>
  <c r="T48" i="1"/>
  <c r="U48" i="1"/>
  <c r="S48" i="1"/>
  <c r="R48" i="1"/>
  <c r="Q48" i="1"/>
  <c r="P48" i="1"/>
  <c r="O48" i="1"/>
  <c r="N48" i="1"/>
  <c r="M48" i="1"/>
  <c r="K48" i="1"/>
  <c r="J48" i="1"/>
  <c r="I48" i="1"/>
  <c r="H48" i="1"/>
  <c r="G48" i="1"/>
  <c r="F48" i="1"/>
  <c r="E48" i="1"/>
  <c r="D48" i="1"/>
  <c r="C48" i="1"/>
  <c r="C40" i="1"/>
  <c r="M40" i="1"/>
  <c r="U40" i="1"/>
  <c r="T40" i="1"/>
  <c r="S40" i="1"/>
  <c r="R40" i="1"/>
  <c r="Q40" i="1"/>
  <c r="P40" i="1"/>
  <c r="O40" i="1"/>
  <c r="N40" i="1"/>
  <c r="K40" i="1"/>
  <c r="J40" i="1"/>
  <c r="I40" i="1"/>
  <c r="H40" i="1"/>
  <c r="G40" i="1"/>
  <c r="F40" i="1"/>
  <c r="E40" i="1"/>
  <c r="D40" i="1"/>
  <c r="U39" i="1"/>
  <c r="T39" i="1"/>
  <c r="S39" i="1"/>
  <c r="R39" i="1"/>
  <c r="Q39" i="1"/>
  <c r="P39" i="1"/>
  <c r="O39" i="1"/>
  <c r="N39" i="1"/>
  <c r="M39" i="1"/>
  <c r="K39" i="1"/>
  <c r="J39" i="1"/>
  <c r="I39" i="1"/>
  <c r="H39" i="1"/>
  <c r="G39" i="1"/>
  <c r="F39" i="1"/>
  <c r="E39" i="1"/>
  <c r="D39" i="1"/>
  <c r="C39" i="1"/>
  <c r="T37" i="1"/>
  <c r="O37" i="1"/>
  <c r="N37" i="1"/>
  <c r="E37" i="1"/>
  <c r="U37" i="1"/>
  <c r="S37" i="1"/>
  <c r="R37" i="1"/>
  <c r="Q37" i="1"/>
  <c r="P37" i="1"/>
  <c r="M37" i="1"/>
  <c r="K37" i="1"/>
  <c r="J37" i="1"/>
  <c r="I37" i="1"/>
  <c r="H37" i="1"/>
  <c r="G37" i="1"/>
  <c r="F37" i="1"/>
  <c r="D37" i="1"/>
  <c r="O36" i="1"/>
  <c r="D35" i="1"/>
  <c r="U36" i="1"/>
  <c r="T36" i="1"/>
  <c r="S36" i="1"/>
  <c r="R36" i="1"/>
  <c r="Q36" i="1"/>
  <c r="P36" i="1"/>
  <c r="N36" i="1"/>
  <c r="M36" i="1"/>
  <c r="K36" i="1"/>
  <c r="J36" i="1"/>
  <c r="I36" i="1"/>
  <c r="H36" i="1"/>
  <c r="G36" i="1"/>
  <c r="F36" i="1"/>
  <c r="E36" i="1"/>
  <c r="D36" i="1"/>
  <c r="C36" i="1"/>
  <c r="O35" i="1"/>
  <c r="N35" i="1"/>
  <c r="U35" i="1"/>
  <c r="T35" i="1"/>
  <c r="S35" i="1"/>
  <c r="R35" i="1"/>
  <c r="Q35" i="1"/>
  <c r="P35" i="1"/>
  <c r="M35" i="1"/>
  <c r="K35" i="1"/>
  <c r="J35" i="1"/>
  <c r="I35" i="1"/>
  <c r="H35" i="1"/>
  <c r="G35" i="1"/>
  <c r="F35" i="1"/>
  <c r="S34" i="1"/>
  <c r="I34" i="1"/>
  <c r="G34" i="1"/>
  <c r="D34" i="1"/>
  <c r="O34" i="1"/>
  <c r="N34" i="1"/>
  <c r="U34" i="1"/>
  <c r="T34" i="1"/>
  <c r="R34" i="1"/>
  <c r="Q34" i="1"/>
  <c r="P34" i="1"/>
  <c r="M34" i="1"/>
  <c r="K34" i="1"/>
  <c r="J34" i="1"/>
  <c r="H34" i="1"/>
  <c r="F34" i="1"/>
  <c r="E34" i="1"/>
  <c r="C34" i="1"/>
  <c r="C33" i="1"/>
  <c r="D33" i="1"/>
  <c r="U33" i="1"/>
  <c r="S33" i="1"/>
  <c r="Q33" i="1"/>
  <c r="K33" i="1"/>
  <c r="I33" i="1"/>
  <c r="G33" i="1"/>
  <c r="T33" i="1"/>
  <c r="R33" i="1"/>
  <c r="P33" i="1"/>
  <c r="O33" i="1"/>
  <c r="N33" i="1"/>
  <c r="M33" i="1"/>
  <c r="J33" i="1"/>
  <c r="H33" i="1"/>
  <c r="E33" i="1"/>
  <c r="L48" i="1" l="1"/>
  <c r="L47" i="1"/>
  <c r="L49" i="1"/>
  <c r="L36" i="1"/>
  <c r="L40" i="1"/>
  <c r="L39" i="1"/>
  <c r="F33" i="1"/>
  <c r="U32" i="1"/>
  <c r="T32" i="1"/>
  <c r="S32" i="1"/>
  <c r="R32" i="1"/>
  <c r="Q32" i="1"/>
  <c r="P32" i="1"/>
  <c r="O32" i="1"/>
  <c r="N32" i="1"/>
  <c r="M32" i="1"/>
  <c r="V32" i="1" s="1"/>
  <c r="K32" i="1"/>
  <c r="J32" i="1"/>
  <c r="I32" i="1"/>
  <c r="H32" i="1"/>
  <c r="L32" i="1" s="1"/>
  <c r="G32" i="1"/>
  <c r="F32" i="1"/>
  <c r="E32" i="1"/>
  <c r="D32" i="1"/>
  <c r="S31" i="1"/>
  <c r="I31" i="1"/>
  <c r="U31" i="1"/>
  <c r="T31" i="1"/>
  <c r="R31" i="1"/>
  <c r="Q31" i="1"/>
  <c r="P31" i="1"/>
  <c r="O31" i="1"/>
  <c r="N31" i="1"/>
  <c r="M31" i="1"/>
  <c r="K31" i="1"/>
  <c r="J31" i="1"/>
  <c r="H31" i="1"/>
  <c r="G31" i="1"/>
  <c r="F31" i="1"/>
  <c r="E31" i="1"/>
  <c r="D31" i="1"/>
  <c r="J30" i="1"/>
  <c r="T30" i="1"/>
  <c r="U30" i="1"/>
  <c r="S30" i="1"/>
  <c r="R30" i="1"/>
  <c r="Q30" i="1"/>
  <c r="P30" i="1"/>
  <c r="M30" i="1"/>
  <c r="K30" i="1"/>
  <c r="H30" i="1"/>
  <c r="F30" i="1"/>
  <c r="C30" i="1"/>
  <c r="Q29" i="1"/>
  <c r="K29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A121" i="1"/>
  <c r="Y121" i="1"/>
  <c r="B121" i="1"/>
  <c r="AA120" i="1"/>
  <c r="Y120" i="1"/>
  <c r="U120" i="1"/>
  <c r="T120" i="1"/>
  <c r="S120" i="1"/>
  <c r="R120" i="1"/>
  <c r="Q120" i="1"/>
  <c r="P120" i="1"/>
  <c r="O120" i="1"/>
  <c r="N120" i="1"/>
  <c r="M120" i="1"/>
  <c r="K120" i="1"/>
  <c r="J120" i="1"/>
  <c r="I120" i="1"/>
  <c r="H120" i="1"/>
  <c r="G120" i="1"/>
  <c r="F120" i="1"/>
  <c r="E120" i="1"/>
  <c r="D120" i="1"/>
  <c r="C120" i="1"/>
  <c r="L120" i="1" s="1"/>
  <c r="AA119" i="1"/>
  <c r="Y119" i="1"/>
  <c r="U119" i="1"/>
  <c r="T119" i="1"/>
  <c r="S119" i="1"/>
  <c r="R119" i="1"/>
  <c r="Q119" i="1"/>
  <c r="P119" i="1"/>
  <c r="O119" i="1"/>
  <c r="N119" i="1"/>
  <c r="M119" i="1"/>
  <c r="V119" i="1" s="1"/>
  <c r="K119" i="1"/>
  <c r="J119" i="1"/>
  <c r="I119" i="1"/>
  <c r="H119" i="1"/>
  <c r="G119" i="1"/>
  <c r="F119" i="1"/>
  <c r="E119" i="1"/>
  <c r="D119" i="1"/>
  <c r="L119" i="1" s="1"/>
  <c r="C119" i="1"/>
  <c r="AA118" i="1"/>
  <c r="Y118" i="1"/>
  <c r="U118" i="1"/>
  <c r="T118" i="1"/>
  <c r="S118" i="1"/>
  <c r="R118" i="1"/>
  <c r="Q118" i="1"/>
  <c r="P118" i="1"/>
  <c r="O118" i="1"/>
  <c r="N118" i="1"/>
  <c r="M118" i="1"/>
  <c r="K118" i="1"/>
  <c r="J118" i="1"/>
  <c r="I118" i="1"/>
  <c r="H118" i="1"/>
  <c r="G118" i="1"/>
  <c r="F118" i="1"/>
  <c r="E118" i="1"/>
  <c r="D118" i="1"/>
  <c r="AA117" i="1"/>
  <c r="Y117" i="1"/>
  <c r="U117" i="1"/>
  <c r="T117" i="1"/>
  <c r="S117" i="1"/>
  <c r="R117" i="1"/>
  <c r="Q117" i="1"/>
  <c r="P117" i="1"/>
  <c r="O117" i="1"/>
  <c r="N117" i="1"/>
  <c r="M117" i="1"/>
  <c r="K117" i="1"/>
  <c r="J117" i="1"/>
  <c r="I117" i="1"/>
  <c r="H117" i="1"/>
  <c r="G117" i="1"/>
  <c r="F117" i="1"/>
  <c r="E117" i="1"/>
  <c r="D117" i="1"/>
  <c r="C117" i="1"/>
  <c r="AA116" i="1"/>
  <c r="Y116" i="1"/>
  <c r="U116" i="1"/>
  <c r="T116" i="1"/>
  <c r="S116" i="1"/>
  <c r="R116" i="1"/>
  <c r="Q116" i="1"/>
  <c r="P116" i="1"/>
  <c r="O116" i="1"/>
  <c r="N116" i="1"/>
  <c r="M116" i="1"/>
  <c r="K116" i="1"/>
  <c r="J116" i="1"/>
  <c r="I116" i="1"/>
  <c r="H116" i="1"/>
  <c r="G116" i="1"/>
  <c r="F116" i="1"/>
  <c r="E116" i="1"/>
  <c r="D116" i="1"/>
  <c r="C116" i="1"/>
  <c r="L116" i="1" s="1"/>
  <c r="AA115" i="1"/>
  <c r="Y115" i="1"/>
  <c r="U115" i="1"/>
  <c r="T115" i="1"/>
  <c r="S115" i="1"/>
  <c r="R115" i="1"/>
  <c r="Q115" i="1"/>
  <c r="P115" i="1"/>
  <c r="O115" i="1"/>
  <c r="N115" i="1"/>
  <c r="M115" i="1"/>
  <c r="V115" i="1" s="1"/>
  <c r="K115" i="1"/>
  <c r="J115" i="1"/>
  <c r="I115" i="1"/>
  <c r="H115" i="1"/>
  <c r="G115" i="1"/>
  <c r="F115" i="1"/>
  <c r="E115" i="1"/>
  <c r="D115" i="1"/>
  <c r="L115" i="1" s="1"/>
  <c r="C115" i="1"/>
  <c r="AA114" i="1"/>
  <c r="Y114" i="1"/>
  <c r="U114" i="1"/>
  <c r="T114" i="1"/>
  <c r="S114" i="1"/>
  <c r="R114" i="1"/>
  <c r="Q114" i="1"/>
  <c r="P114" i="1"/>
  <c r="O114" i="1"/>
  <c r="N114" i="1"/>
  <c r="M114" i="1"/>
  <c r="K114" i="1"/>
  <c r="J114" i="1"/>
  <c r="I114" i="1"/>
  <c r="H114" i="1"/>
  <c r="G114" i="1"/>
  <c r="F114" i="1"/>
  <c r="E114" i="1"/>
  <c r="D114" i="1"/>
  <c r="C114" i="1"/>
  <c r="AA113" i="1"/>
  <c r="Y113" i="1"/>
  <c r="U113" i="1"/>
  <c r="T113" i="1"/>
  <c r="S113" i="1"/>
  <c r="R113" i="1"/>
  <c r="Q113" i="1"/>
  <c r="P113" i="1"/>
  <c r="O113" i="1"/>
  <c r="N113" i="1"/>
  <c r="M113" i="1"/>
  <c r="K113" i="1"/>
  <c r="J113" i="1"/>
  <c r="I113" i="1"/>
  <c r="H113" i="1"/>
  <c r="G113" i="1"/>
  <c r="F113" i="1"/>
  <c r="E113" i="1"/>
  <c r="D113" i="1"/>
  <c r="C113" i="1"/>
  <c r="AA112" i="1"/>
  <c r="Y112" i="1"/>
  <c r="U112" i="1"/>
  <c r="T112" i="1"/>
  <c r="S112" i="1"/>
  <c r="R112" i="1"/>
  <c r="Q112" i="1"/>
  <c r="P112" i="1"/>
  <c r="O112" i="1"/>
  <c r="N112" i="1"/>
  <c r="M112" i="1"/>
  <c r="K112" i="1"/>
  <c r="J112" i="1"/>
  <c r="I112" i="1"/>
  <c r="H112" i="1"/>
  <c r="G112" i="1"/>
  <c r="F112" i="1"/>
  <c r="E112" i="1"/>
  <c r="D112" i="1"/>
  <c r="C112" i="1"/>
  <c r="L112" i="1" s="1"/>
  <c r="AA111" i="1"/>
  <c r="Y111" i="1"/>
  <c r="U111" i="1"/>
  <c r="T111" i="1"/>
  <c r="S111" i="1"/>
  <c r="R111" i="1"/>
  <c r="Q111" i="1"/>
  <c r="P111" i="1"/>
  <c r="O111" i="1"/>
  <c r="N111" i="1"/>
  <c r="M111" i="1"/>
  <c r="V111" i="1" s="1"/>
  <c r="K111" i="1"/>
  <c r="J111" i="1"/>
  <c r="I111" i="1"/>
  <c r="H111" i="1"/>
  <c r="G111" i="1"/>
  <c r="F111" i="1"/>
  <c r="E111" i="1"/>
  <c r="D111" i="1"/>
  <c r="L111" i="1" s="1"/>
  <c r="C111" i="1"/>
  <c r="AA110" i="1"/>
  <c r="Y110" i="1"/>
  <c r="U110" i="1"/>
  <c r="T110" i="1"/>
  <c r="S110" i="1"/>
  <c r="R110" i="1"/>
  <c r="Q110" i="1"/>
  <c r="P110" i="1"/>
  <c r="K110" i="1"/>
  <c r="J110" i="1"/>
  <c r="I110" i="1"/>
  <c r="G110" i="1"/>
  <c r="F110" i="1"/>
  <c r="E110" i="1"/>
  <c r="D110" i="1"/>
  <c r="C110" i="1"/>
  <c r="AA109" i="1"/>
  <c r="Y109" i="1"/>
  <c r="U109" i="1"/>
  <c r="T109" i="1"/>
  <c r="S109" i="1"/>
  <c r="R109" i="1"/>
  <c r="Q109" i="1"/>
  <c r="P109" i="1"/>
  <c r="O109" i="1"/>
  <c r="K109" i="1"/>
  <c r="J109" i="1"/>
  <c r="I109" i="1"/>
  <c r="G109" i="1"/>
  <c r="F109" i="1"/>
  <c r="E109" i="1"/>
  <c r="D109" i="1"/>
  <c r="C109" i="1"/>
  <c r="AA108" i="1"/>
  <c r="Y108" i="1"/>
  <c r="U108" i="1"/>
  <c r="T108" i="1"/>
  <c r="S108" i="1"/>
  <c r="R108" i="1"/>
  <c r="Q108" i="1"/>
  <c r="P108" i="1"/>
  <c r="K108" i="1"/>
  <c r="J108" i="1"/>
  <c r="I108" i="1"/>
  <c r="H108" i="1"/>
  <c r="G108" i="1"/>
  <c r="F108" i="1"/>
  <c r="E108" i="1"/>
  <c r="D108" i="1"/>
  <c r="C108" i="1"/>
  <c r="L108" i="1" s="1"/>
  <c r="AA107" i="1"/>
  <c r="Y107" i="1"/>
  <c r="U107" i="1"/>
  <c r="T107" i="1"/>
  <c r="S107" i="1"/>
  <c r="R107" i="1"/>
  <c r="Q107" i="1"/>
  <c r="P107" i="1"/>
  <c r="M107" i="1"/>
  <c r="K107" i="1"/>
  <c r="J107" i="1"/>
  <c r="I107" i="1"/>
  <c r="G107" i="1"/>
  <c r="F107" i="1"/>
  <c r="E107" i="1"/>
  <c r="D107" i="1"/>
  <c r="AA106" i="1"/>
  <c r="Y106" i="1"/>
  <c r="U106" i="1"/>
  <c r="T106" i="1"/>
  <c r="S106" i="1"/>
  <c r="R106" i="1"/>
  <c r="Q106" i="1"/>
  <c r="P106" i="1"/>
  <c r="K106" i="1"/>
  <c r="J106" i="1"/>
  <c r="I106" i="1"/>
  <c r="G106" i="1"/>
  <c r="F106" i="1"/>
  <c r="E106" i="1"/>
  <c r="D106" i="1"/>
  <c r="AA105" i="1"/>
  <c r="Y105" i="1"/>
  <c r="U105" i="1"/>
  <c r="T105" i="1"/>
  <c r="R105" i="1"/>
  <c r="Q105" i="1"/>
  <c r="P105" i="1"/>
  <c r="O105" i="1"/>
  <c r="K105" i="1"/>
  <c r="J105" i="1"/>
  <c r="H105" i="1"/>
  <c r="G105" i="1"/>
  <c r="F105" i="1"/>
  <c r="E105" i="1"/>
  <c r="D105" i="1"/>
  <c r="C105" i="1"/>
  <c r="AA104" i="1"/>
  <c r="Y104" i="1"/>
  <c r="U104" i="1"/>
  <c r="T104" i="1"/>
  <c r="S104" i="1"/>
  <c r="R104" i="1"/>
  <c r="Q104" i="1"/>
  <c r="P104" i="1"/>
  <c r="O104" i="1"/>
  <c r="N104" i="1"/>
  <c r="K104" i="1"/>
  <c r="J104" i="1"/>
  <c r="I104" i="1"/>
  <c r="G104" i="1"/>
  <c r="F104" i="1"/>
  <c r="E104" i="1"/>
  <c r="D104" i="1"/>
  <c r="C104" i="1"/>
  <c r="AA103" i="1"/>
  <c r="Y103" i="1"/>
  <c r="U103" i="1"/>
  <c r="T103" i="1"/>
  <c r="S103" i="1"/>
  <c r="R103" i="1"/>
  <c r="Q103" i="1"/>
  <c r="P103" i="1"/>
  <c r="O103" i="1"/>
  <c r="N103" i="1"/>
  <c r="K103" i="1"/>
  <c r="J103" i="1"/>
  <c r="I103" i="1"/>
  <c r="H103" i="1"/>
  <c r="G103" i="1"/>
  <c r="F103" i="1"/>
  <c r="E103" i="1"/>
  <c r="D103" i="1"/>
  <c r="L103" i="1" s="1"/>
  <c r="C103" i="1"/>
  <c r="AA102" i="1"/>
  <c r="Y102" i="1"/>
  <c r="U102" i="1"/>
  <c r="T102" i="1"/>
  <c r="S102" i="1"/>
  <c r="R102" i="1"/>
  <c r="Q102" i="1"/>
  <c r="P102" i="1"/>
  <c r="O102" i="1"/>
  <c r="K102" i="1"/>
  <c r="J102" i="1"/>
  <c r="I102" i="1"/>
  <c r="H102" i="1"/>
  <c r="G102" i="1"/>
  <c r="F102" i="1"/>
  <c r="E102" i="1"/>
  <c r="D102" i="1"/>
  <c r="C102" i="1"/>
  <c r="AA101" i="1"/>
  <c r="Y101" i="1"/>
  <c r="U101" i="1"/>
  <c r="T101" i="1"/>
  <c r="S101" i="1"/>
  <c r="R101" i="1"/>
  <c r="Q101" i="1"/>
  <c r="P101" i="1"/>
  <c r="O101" i="1"/>
  <c r="M101" i="1"/>
  <c r="K101" i="1"/>
  <c r="J101" i="1"/>
  <c r="I101" i="1"/>
  <c r="G101" i="1"/>
  <c r="F101" i="1"/>
  <c r="E101" i="1"/>
  <c r="D101" i="1"/>
  <c r="C101" i="1"/>
  <c r="AA100" i="1"/>
  <c r="Y100" i="1"/>
  <c r="U100" i="1"/>
  <c r="T100" i="1"/>
  <c r="S100" i="1"/>
  <c r="R100" i="1"/>
  <c r="Q100" i="1"/>
  <c r="P100" i="1"/>
  <c r="O100" i="1"/>
  <c r="N100" i="1"/>
  <c r="M100" i="1"/>
  <c r="K100" i="1"/>
  <c r="J100" i="1"/>
  <c r="I100" i="1"/>
  <c r="H100" i="1"/>
  <c r="G100" i="1"/>
  <c r="F100" i="1"/>
  <c r="E100" i="1"/>
  <c r="D100" i="1"/>
  <c r="C100" i="1"/>
  <c r="L100" i="1" s="1"/>
  <c r="C99" i="1"/>
  <c r="U97" i="1"/>
  <c r="T97" i="1"/>
  <c r="S97" i="1"/>
  <c r="R97" i="1"/>
  <c r="Q97" i="1"/>
  <c r="P97" i="1"/>
  <c r="K97" i="1"/>
  <c r="J97" i="1"/>
  <c r="G97" i="1"/>
  <c r="F97" i="1"/>
  <c r="E97" i="1"/>
  <c r="D97" i="1"/>
  <c r="C97" i="1"/>
  <c r="B94" i="1"/>
  <c r="B118" i="1" s="1"/>
  <c r="B90" i="1"/>
  <c r="B114" i="1" s="1"/>
  <c r="B86" i="1"/>
  <c r="B110" i="1" s="1"/>
  <c r="B82" i="1"/>
  <c r="B106" i="1" s="1"/>
  <c r="B78" i="1"/>
  <c r="B102" i="1" s="1"/>
  <c r="U73" i="1"/>
  <c r="T73" i="1"/>
  <c r="R73" i="1"/>
  <c r="Q73" i="1"/>
  <c r="P73" i="1"/>
  <c r="O73" i="1"/>
  <c r="N73" i="1"/>
  <c r="K73" i="1"/>
  <c r="J73" i="1"/>
  <c r="I73" i="1"/>
  <c r="G73" i="1"/>
  <c r="F73" i="1"/>
  <c r="E73" i="1"/>
  <c r="D73" i="1"/>
  <c r="V13" i="1"/>
  <c r="L13" i="1"/>
  <c r="L22" i="1"/>
  <c r="V21" i="1"/>
  <c r="L21" i="1"/>
  <c r="V20" i="1"/>
  <c r="L20" i="1"/>
  <c r="V19" i="1"/>
  <c r="L19" i="1"/>
  <c r="V18" i="1"/>
  <c r="L18" i="1"/>
  <c r="V39" i="1"/>
  <c r="C37" i="1"/>
  <c r="L37" i="1" s="1"/>
  <c r="V36" i="1"/>
  <c r="C35" i="1"/>
  <c r="C32" i="1"/>
  <c r="C31" i="1"/>
  <c r="O30" i="1"/>
  <c r="N30" i="1"/>
  <c r="I30" i="1"/>
  <c r="G30" i="1"/>
  <c r="E30" i="1"/>
  <c r="D30" i="1"/>
  <c r="T29" i="1"/>
  <c r="S29" i="1"/>
  <c r="R29" i="1"/>
  <c r="P29" i="1"/>
  <c r="O29" i="1"/>
  <c r="N29" i="1"/>
  <c r="M29" i="1"/>
  <c r="J29" i="1"/>
  <c r="I29" i="1"/>
  <c r="H29" i="1"/>
  <c r="G29" i="1"/>
  <c r="F29" i="1"/>
  <c r="E29" i="1"/>
  <c r="D29" i="1"/>
  <c r="C29" i="1"/>
  <c r="B49" i="1"/>
  <c r="B72" i="1" s="1"/>
  <c r="B96" i="1" s="1"/>
  <c r="B120" i="1" s="1"/>
  <c r="B48" i="1"/>
  <c r="B71" i="1" s="1"/>
  <c r="B95" i="1" s="1"/>
  <c r="B119" i="1" s="1"/>
  <c r="B47" i="1"/>
  <c r="B70" i="1" s="1"/>
  <c r="B46" i="1"/>
  <c r="B69" i="1" s="1"/>
  <c r="B93" i="1" s="1"/>
  <c r="B117" i="1" s="1"/>
  <c r="B45" i="1"/>
  <c r="B68" i="1" s="1"/>
  <c r="B92" i="1" s="1"/>
  <c r="B116" i="1" s="1"/>
  <c r="B44" i="1"/>
  <c r="B67" i="1" s="1"/>
  <c r="B91" i="1" s="1"/>
  <c r="B115" i="1" s="1"/>
  <c r="B43" i="1"/>
  <c r="B66" i="1" s="1"/>
  <c r="B42" i="1"/>
  <c r="B65" i="1" s="1"/>
  <c r="B89" i="1" s="1"/>
  <c r="B113" i="1" s="1"/>
  <c r="B41" i="1"/>
  <c r="B64" i="1" s="1"/>
  <c r="B88" i="1" s="1"/>
  <c r="B112" i="1" s="1"/>
  <c r="B40" i="1"/>
  <c r="B63" i="1" s="1"/>
  <c r="B87" i="1" s="1"/>
  <c r="B111" i="1" s="1"/>
  <c r="B39" i="1"/>
  <c r="B62" i="1" s="1"/>
  <c r="B38" i="1"/>
  <c r="B61" i="1" s="1"/>
  <c r="B85" i="1" s="1"/>
  <c r="B109" i="1" s="1"/>
  <c r="B37" i="1"/>
  <c r="B60" i="1" s="1"/>
  <c r="B84" i="1" s="1"/>
  <c r="B108" i="1" s="1"/>
  <c r="B36" i="1"/>
  <c r="B59" i="1" s="1"/>
  <c r="B83" i="1" s="1"/>
  <c r="B107" i="1" s="1"/>
  <c r="B35" i="1"/>
  <c r="B58" i="1" s="1"/>
  <c r="B34" i="1"/>
  <c r="B57" i="1" s="1"/>
  <c r="B81" i="1" s="1"/>
  <c r="B105" i="1" s="1"/>
  <c r="B33" i="1"/>
  <c r="B56" i="1" s="1"/>
  <c r="B80" i="1" s="1"/>
  <c r="B104" i="1" s="1"/>
  <c r="B32" i="1"/>
  <c r="B55" i="1" s="1"/>
  <c r="B79" i="1" s="1"/>
  <c r="B103" i="1" s="1"/>
  <c r="B31" i="1"/>
  <c r="B54" i="1" s="1"/>
  <c r="B30" i="1"/>
  <c r="B53" i="1" s="1"/>
  <c r="B77" i="1" s="1"/>
  <c r="B101" i="1" s="1"/>
  <c r="B29" i="1"/>
  <c r="B52" i="1" s="1"/>
  <c r="B76" i="1" s="1"/>
  <c r="B100" i="1" s="1"/>
  <c r="A4" i="1"/>
  <c r="A5" i="1" s="1"/>
  <c r="A6" i="1" s="1"/>
  <c r="A7" i="1" s="1"/>
  <c r="A8" i="1" s="1"/>
  <c r="A9" i="1" s="1"/>
  <c r="A10" i="1" s="1"/>
  <c r="A11" i="1" s="1"/>
  <c r="A12" i="1" s="1"/>
  <c r="L42" i="1" l="1"/>
  <c r="W19" i="1"/>
  <c r="W21" i="1"/>
  <c r="V30" i="1"/>
  <c r="L31" i="1"/>
  <c r="V34" i="1"/>
  <c r="L35" i="1"/>
  <c r="V40" i="1"/>
  <c r="W40" i="1" s="1"/>
  <c r="V112" i="1"/>
  <c r="W112" i="1" s="1"/>
  <c r="X112" i="1" s="1"/>
  <c r="L113" i="1"/>
  <c r="L117" i="1"/>
  <c r="V120" i="1"/>
  <c r="W120" i="1" s="1"/>
  <c r="X120" i="1" s="1"/>
  <c r="X121" i="1"/>
  <c r="W32" i="1"/>
  <c r="L29" i="1"/>
  <c r="V29" i="1"/>
  <c r="L33" i="1"/>
  <c r="V33" i="1"/>
  <c r="W39" i="1"/>
  <c r="W13" i="1"/>
  <c r="L102" i="1"/>
  <c r="L114" i="1"/>
  <c r="V116" i="1"/>
  <c r="L30" i="1"/>
  <c r="V31" i="1"/>
  <c r="L34" i="1"/>
  <c r="V35" i="1"/>
  <c r="V37" i="1"/>
  <c r="W37" i="1" s="1"/>
  <c r="V41" i="1"/>
  <c r="W41" i="1" s="1"/>
  <c r="V49" i="1"/>
  <c r="W49" i="1" s="1"/>
  <c r="V113" i="1"/>
  <c r="W113" i="1" s="1"/>
  <c r="X113" i="1" s="1"/>
  <c r="V114" i="1"/>
  <c r="V117" i="1"/>
  <c r="V118" i="1"/>
  <c r="W116" i="1"/>
  <c r="X116" i="1" s="1"/>
  <c r="W117" i="1"/>
  <c r="X117" i="1" s="1"/>
  <c r="W111" i="1"/>
  <c r="X111" i="1" s="1"/>
  <c r="W115" i="1"/>
  <c r="X115" i="1" s="1"/>
  <c r="W119" i="1"/>
  <c r="X119" i="1" s="1"/>
  <c r="V100" i="1"/>
  <c r="W100" i="1" s="1"/>
  <c r="X100" i="1" s="1"/>
  <c r="W18" i="1"/>
  <c r="W20" i="1"/>
  <c r="W22" i="1"/>
  <c r="V38" i="1"/>
  <c r="L38" i="1"/>
  <c r="V47" i="1"/>
  <c r="W47" i="1" s="1"/>
  <c r="V43" i="1"/>
  <c r="L44" i="1"/>
  <c r="V44" i="1"/>
  <c r="V48" i="1"/>
  <c r="V42" i="1"/>
  <c r="L43" i="1"/>
  <c r="V46" i="1"/>
  <c r="W46" i="1" s="1"/>
  <c r="L45" i="1"/>
  <c r="V45" i="1"/>
  <c r="W36" i="1"/>
  <c r="A13" i="1"/>
  <c r="A14" i="1" s="1"/>
  <c r="A15" i="1" s="1"/>
  <c r="A16" i="1" s="1"/>
  <c r="A17" i="1" s="1"/>
  <c r="A18" i="1" s="1"/>
  <c r="A19" i="1" s="1"/>
  <c r="A20" i="1" s="1"/>
  <c r="A21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A83" i="6"/>
  <c r="Z83" i="6"/>
  <c r="Y83" i="6"/>
  <c r="U83" i="6"/>
  <c r="T83" i="6"/>
  <c r="S83" i="6"/>
  <c r="R83" i="6"/>
  <c r="Q83" i="6"/>
  <c r="P83" i="6"/>
  <c r="O83" i="6"/>
  <c r="N83" i="6"/>
  <c r="M83" i="6"/>
  <c r="V83" i="6" s="1"/>
  <c r="W83" i="6" s="1"/>
  <c r="X83" i="6" s="1"/>
  <c r="L83" i="6"/>
  <c r="K83" i="6"/>
  <c r="J83" i="6"/>
  <c r="I83" i="6"/>
  <c r="H83" i="6"/>
  <c r="G83" i="6"/>
  <c r="F83" i="6"/>
  <c r="E83" i="6"/>
  <c r="D83" i="6"/>
  <c r="C83" i="6"/>
  <c r="M47" i="6"/>
  <c r="C47" i="6"/>
  <c r="B22" i="6"/>
  <c r="B83" i="6"/>
  <c r="B65" i="6"/>
  <c r="B47" i="6"/>
  <c r="B30" i="6"/>
  <c r="W42" i="1" l="1"/>
  <c r="W44" i="1"/>
  <c r="W45" i="1"/>
  <c r="W38" i="1"/>
  <c r="W35" i="1"/>
  <c r="W34" i="1"/>
  <c r="W33" i="1"/>
  <c r="W30" i="1"/>
  <c r="W29" i="1"/>
  <c r="W114" i="1"/>
  <c r="X114" i="1" s="1"/>
  <c r="W48" i="1"/>
  <c r="W31" i="1"/>
  <c r="W43" i="1"/>
  <c r="A22" i="1"/>
  <c r="A23" i="1" s="1"/>
  <c r="A24" i="1" s="1"/>
  <c r="X22" i="6"/>
  <c r="AA22" i="6"/>
  <c r="Z27" i="6" l="1"/>
  <c r="Z23" i="6"/>
  <c r="Z36" i="6"/>
  <c r="Z35" i="6"/>
  <c r="Z29" i="6"/>
  <c r="Z28" i="6"/>
  <c r="Z26" i="6"/>
  <c r="Z24" i="6"/>
  <c r="Z25" i="6"/>
  <c r="Z22" i="6"/>
  <c r="Z31" i="6"/>
  <c r="Z32" i="6"/>
  <c r="Y27" i="6"/>
  <c r="Y28" i="6"/>
  <c r="Y37" i="6"/>
  <c r="Y26" i="6"/>
  <c r="Y35" i="6"/>
  <c r="Y29" i="6"/>
  <c r="Y34" i="6"/>
  <c r="Y32" i="6"/>
  <c r="Y25" i="6"/>
  <c r="Y36" i="6"/>
  <c r="Y31" i="6"/>
  <c r="Y22" i="6"/>
  <c r="Y24" i="6"/>
  <c r="X23" i="6"/>
  <c r="X34" i="6"/>
  <c r="X29" i="6"/>
  <c r="X28" i="6"/>
  <c r="X26" i="6"/>
  <c r="X33" i="6"/>
  <c r="X31" i="6"/>
  <c r="X25" i="6"/>
  <c r="X37" i="6"/>
  <c r="X35" i="6"/>
  <c r="X27" i="6"/>
  <c r="X24" i="6"/>
  <c r="L10" i="6"/>
  <c r="O24" i="6" l="1"/>
  <c r="E24" i="6"/>
  <c r="E25" i="6"/>
  <c r="D24" i="6"/>
  <c r="R36" i="6"/>
  <c r="T36" i="6"/>
  <c r="O36" i="6"/>
  <c r="N36" i="6"/>
  <c r="M36" i="6"/>
  <c r="J36" i="6"/>
  <c r="H36" i="6"/>
  <c r="E36" i="6"/>
  <c r="D36" i="6"/>
  <c r="R37" i="6"/>
  <c r="R34" i="6"/>
  <c r="P34" i="6"/>
  <c r="H34" i="6"/>
  <c r="S33" i="6"/>
  <c r="Q33" i="6"/>
  <c r="I33" i="6"/>
  <c r="G33" i="6"/>
  <c r="U33" i="6"/>
  <c r="T33" i="6"/>
  <c r="R33" i="6"/>
  <c r="P33" i="6"/>
  <c r="O33" i="6"/>
  <c r="N33" i="6"/>
  <c r="M33" i="6"/>
  <c r="V33" i="6" s="1"/>
  <c r="K33" i="6"/>
  <c r="J33" i="6"/>
  <c r="H33" i="6"/>
  <c r="F33" i="6"/>
  <c r="E33" i="6"/>
  <c r="D33" i="6"/>
  <c r="I32" i="6"/>
  <c r="U32" i="6"/>
  <c r="T32" i="6"/>
  <c r="S32" i="6"/>
  <c r="R32" i="6"/>
  <c r="Q32" i="6"/>
  <c r="P32" i="6"/>
  <c r="O32" i="6"/>
  <c r="N32" i="6"/>
  <c r="M32" i="6"/>
  <c r="K32" i="6"/>
  <c r="J32" i="6"/>
  <c r="H32" i="6"/>
  <c r="G32" i="6"/>
  <c r="F32" i="6"/>
  <c r="E32" i="6"/>
  <c r="D32" i="6"/>
  <c r="Q31" i="6"/>
  <c r="S31" i="6"/>
  <c r="G31" i="6"/>
  <c r="I31" i="6"/>
  <c r="U31" i="6"/>
  <c r="T31" i="6"/>
  <c r="R31" i="6"/>
  <c r="P31" i="6"/>
  <c r="O31" i="6"/>
  <c r="N31" i="6"/>
  <c r="M31" i="6"/>
  <c r="K31" i="6"/>
  <c r="J31" i="6"/>
  <c r="H31" i="6"/>
  <c r="F31" i="6"/>
  <c r="E31" i="6"/>
  <c r="D31" i="6"/>
  <c r="T29" i="6"/>
  <c r="O29" i="6"/>
  <c r="N29" i="6"/>
  <c r="M29" i="6"/>
  <c r="J29" i="6"/>
  <c r="E29" i="6"/>
  <c r="D29" i="6"/>
  <c r="C31" i="6"/>
  <c r="T27" i="6"/>
  <c r="M27" i="6"/>
  <c r="K27" i="6"/>
  <c r="J27" i="6"/>
  <c r="I27" i="6"/>
  <c r="H27" i="6"/>
  <c r="G27" i="6"/>
  <c r="F27" i="6"/>
  <c r="E27" i="6"/>
  <c r="D26" i="6"/>
  <c r="U25" i="6"/>
  <c r="T25" i="6"/>
  <c r="S25" i="6"/>
  <c r="R25" i="6"/>
  <c r="Q25" i="6"/>
  <c r="P25" i="6"/>
  <c r="O25" i="6"/>
  <c r="N25" i="6"/>
  <c r="M25" i="6"/>
  <c r="K25" i="6"/>
  <c r="J25" i="6"/>
  <c r="I25" i="6"/>
  <c r="H25" i="6"/>
  <c r="G25" i="6"/>
  <c r="F25" i="6"/>
  <c r="D25" i="6"/>
  <c r="C25" i="6"/>
  <c r="E23" i="6"/>
  <c r="T23" i="6"/>
  <c r="U22" i="6"/>
  <c r="W90" i="6"/>
  <c r="X90" i="6" s="1"/>
  <c r="AB90" i="6" s="1"/>
  <c r="U90" i="6"/>
  <c r="T90" i="6"/>
  <c r="S90" i="6"/>
  <c r="R90" i="6"/>
  <c r="Q90" i="6"/>
  <c r="P90" i="6"/>
  <c r="O90" i="6"/>
  <c r="N90" i="6"/>
  <c r="V90" i="6" s="1"/>
  <c r="M90" i="6"/>
  <c r="K90" i="6"/>
  <c r="J90" i="6"/>
  <c r="I90" i="6"/>
  <c r="H90" i="6"/>
  <c r="G90" i="6"/>
  <c r="F90" i="6"/>
  <c r="E90" i="6"/>
  <c r="D90" i="6"/>
  <c r="C90" i="6"/>
  <c r="L90" i="6" s="1"/>
  <c r="U89" i="6"/>
  <c r="T89" i="6"/>
  <c r="S89" i="6"/>
  <c r="R89" i="6"/>
  <c r="Q89" i="6"/>
  <c r="P89" i="6"/>
  <c r="O89" i="6"/>
  <c r="N89" i="6"/>
  <c r="M89" i="6"/>
  <c r="K89" i="6"/>
  <c r="J89" i="6"/>
  <c r="I89" i="6"/>
  <c r="H89" i="6"/>
  <c r="G89" i="6"/>
  <c r="F89" i="6"/>
  <c r="E89" i="6"/>
  <c r="D89" i="6"/>
  <c r="C89" i="6"/>
  <c r="L89" i="6" s="1"/>
  <c r="U88" i="6"/>
  <c r="T88" i="6"/>
  <c r="S88" i="6"/>
  <c r="R88" i="6"/>
  <c r="Q88" i="6"/>
  <c r="P88" i="6"/>
  <c r="O88" i="6"/>
  <c r="N88" i="6"/>
  <c r="V88" i="6" s="1"/>
  <c r="M88" i="6"/>
  <c r="K88" i="6"/>
  <c r="J88" i="6"/>
  <c r="I88" i="6"/>
  <c r="H88" i="6"/>
  <c r="G88" i="6"/>
  <c r="F88" i="6"/>
  <c r="E88" i="6"/>
  <c r="D88" i="6"/>
  <c r="C88" i="6"/>
  <c r="AA87" i="6"/>
  <c r="Z87" i="6"/>
  <c r="Y87" i="6"/>
  <c r="U87" i="6"/>
  <c r="T87" i="6"/>
  <c r="S87" i="6"/>
  <c r="R87" i="6"/>
  <c r="Q87" i="6"/>
  <c r="P87" i="6"/>
  <c r="K87" i="6"/>
  <c r="J87" i="6"/>
  <c r="I87" i="6"/>
  <c r="G87" i="6"/>
  <c r="F87" i="6"/>
  <c r="E87" i="6"/>
  <c r="D87" i="6"/>
  <c r="C87" i="6"/>
  <c r="Y86" i="6"/>
  <c r="U86" i="6"/>
  <c r="T86" i="6"/>
  <c r="S86" i="6"/>
  <c r="R86" i="6"/>
  <c r="Q86" i="6"/>
  <c r="P86" i="6"/>
  <c r="O86" i="6"/>
  <c r="K86" i="6"/>
  <c r="J86" i="6"/>
  <c r="I86" i="6"/>
  <c r="G86" i="6"/>
  <c r="F86" i="6"/>
  <c r="E86" i="6"/>
  <c r="D86" i="6"/>
  <c r="C86" i="6"/>
  <c r="AA85" i="6"/>
  <c r="Z85" i="6"/>
  <c r="Z86" i="6" s="1"/>
  <c r="U85" i="6"/>
  <c r="T85" i="6"/>
  <c r="S85" i="6"/>
  <c r="R85" i="6"/>
  <c r="Q85" i="6"/>
  <c r="P85" i="6"/>
  <c r="K85" i="6"/>
  <c r="J85" i="6"/>
  <c r="I85" i="6"/>
  <c r="H85" i="6"/>
  <c r="G85" i="6"/>
  <c r="F85" i="6"/>
  <c r="E85" i="6"/>
  <c r="D85" i="6"/>
  <c r="C85" i="6"/>
  <c r="L85" i="6" s="1"/>
  <c r="AA84" i="6"/>
  <c r="Z84" i="6"/>
  <c r="Y84" i="6"/>
  <c r="U84" i="6"/>
  <c r="T84" i="6"/>
  <c r="S84" i="6"/>
  <c r="R84" i="6"/>
  <c r="Q84" i="6"/>
  <c r="P84" i="6"/>
  <c r="N84" i="6"/>
  <c r="V84" i="6" s="1"/>
  <c r="M84" i="6"/>
  <c r="K84" i="6"/>
  <c r="J84" i="6"/>
  <c r="I84" i="6"/>
  <c r="G84" i="6"/>
  <c r="F84" i="6"/>
  <c r="E84" i="6"/>
  <c r="D84" i="6"/>
  <c r="Z82" i="6"/>
  <c r="Y82" i="6"/>
  <c r="U82" i="6"/>
  <c r="T82" i="6"/>
  <c r="S82" i="6"/>
  <c r="R82" i="6"/>
  <c r="Q82" i="6"/>
  <c r="P82" i="6"/>
  <c r="K82" i="6"/>
  <c r="J82" i="6"/>
  <c r="I82" i="6"/>
  <c r="G82" i="6"/>
  <c r="F82" i="6"/>
  <c r="E82" i="6"/>
  <c r="D82" i="6"/>
  <c r="AA81" i="6"/>
  <c r="AA86" i="6" s="1"/>
  <c r="Z81" i="6"/>
  <c r="Y81" i="6"/>
  <c r="U81" i="6"/>
  <c r="T81" i="6"/>
  <c r="R81" i="6"/>
  <c r="Q81" i="6"/>
  <c r="P81" i="6"/>
  <c r="O81" i="6"/>
  <c r="K81" i="6"/>
  <c r="J81" i="6"/>
  <c r="H81" i="6"/>
  <c r="G81" i="6"/>
  <c r="F81" i="6"/>
  <c r="E81" i="6"/>
  <c r="D81" i="6"/>
  <c r="L81" i="6" s="1"/>
  <c r="C81" i="6"/>
  <c r="AA80" i="6"/>
  <c r="U80" i="6"/>
  <c r="T80" i="6"/>
  <c r="S80" i="6"/>
  <c r="R80" i="6"/>
  <c r="Q80" i="6"/>
  <c r="P80" i="6"/>
  <c r="O80" i="6"/>
  <c r="N80" i="6"/>
  <c r="K80" i="6"/>
  <c r="J80" i="6"/>
  <c r="I80" i="6"/>
  <c r="G80" i="6"/>
  <c r="F80" i="6"/>
  <c r="E80" i="6"/>
  <c r="D80" i="6"/>
  <c r="C80" i="6"/>
  <c r="Z79" i="6"/>
  <c r="U79" i="6"/>
  <c r="T79" i="6"/>
  <c r="S79" i="6"/>
  <c r="R79" i="6"/>
  <c r="Q79" i="6"/>
  <c r="P79" i="6"/>
  <c r="O79" i="6"/>
  <c r="N79" i="6"/>
  <c r="K79" i="6"/>
  <c r="J79" i="6"/>
  <c r="I79" i="6"/>
  <c r="H79" i="6"/>
  <c r="G79" i="6"/>
  <c r="F79" i="6"/>
  <c r="E79" i="6"/>
  <c r="D79" i="6"/>
  <c r="C79" i="6"/>
  <c r="AA78" i="6"/>
  <c r="AA82" i="6" s="1"/>
  <c r="Z78" i="6"/>
  <c r="U78" i="6"/>
  <c r="T78" i="6"/>
  <c r="S78" i="6"/>
  <c r="R78" i="6"/>
  <c r="Q78" i="6"/>
  <c r="P78" i="6"/>
  <c r="O78" i="6"/>
  <c r="K78" i="6"/>
  <c r="J78" i="6"/>
  <c r="I78" i="6"/>
  <c r="H78" i="6"/>
  <c r="G78" i="6"/>
  <c r="F78" i="6"/>
  <c r="E78" i="6"/>
  <c r="D78" i="6"/>
  <c r="L78" i="6" s="1"/>
  <c r="C78" i="6"/>
  <c r="Z77" i="6"/>
  <c r="U77" i="6"/>
  <c r="T77" i="6"/>
  <c r="S77" i="6"/>
  <c r="R77" i="6"/>
  <c r="Q77" i="6"/>
  <c r="P77" i="6"/>
  <c r="O77" i="6"/>
  <c r="M77" i="6"/>
  <c r="K77" i="6"/>
  <c r="J77" i="6"/>
  <c r="I77" i="6"/>
  <c r="G77" i="6"/>
  <c r="F77" i="6"/>
  <c r="E77" i="6"/>
  <c r="D77" i="6"/>
  <c r="L77" i="6" s="1"/>
  <c r="C77" i="6"/>
  <c r="AA76" i="6"/>
  <c r="Z76" i="6"/>
  <c r="Z91" i="6" s="1"/>
  <c r="Y76" i="6"/>
  <c r="U76" i="6"/>
  <c r="T76" i="6"/>
  <c r="T91" i="6" s="1"/>
  <c r="S76" i="6"/>
  <c r="R76" i="6"/>
  <c r="Q76" i="6"/>
  <c r="P76" i="6"/>
  <c r="P91" i="6" s="1"/>
  <c r="O76" i="6"/>
  <c r="N76" i="6"/>
  <c r="M76" i="6"/>
  <c r="K76" i="6"/>
  <c r="J76" i="6"/>
  <c r="I76" i="6"/>
  <c r="H76" i="6"/>
  <c r="G76" i="6"/>
  <c r="F76" i="6"/>
  <c r="E76" i="6"/>
  <c r="D76" i="6"/>
  <c r="C76" i="6"/>
  <c r="AA75" i="6"/>
  <c r="AA91" i="6" s="1"/>
  <c r="Y75" i="6"/>
  <c r="Y91" i="6" s="1"/>
  <c r="U75" i="6"/>
  <c r="T75" i="6"/>
  <c r="S75" i="6"/>
  <c r="R75" i="6"/>
  <c r="R91" i="6" s="1"/>
  <c r="Q75" i="6"/>
  <c r="P75" i="6"/>
  <c r="O75" i="6"/>
  <c r="N75" i="6"/>
  <c r="V75" i="6" s="1"/>
  <c r="M75" i="6"/>
  <c r="K75" i="6"/>
  <c r="J75" i="6"/>
  <c r="I75" i="6"/>
  <c r="I91" i="6" s="1"/>
  <c r="H75" i="6"/>
  <c r="G75" i="6"/>
  <c r="F75" i="6"/>
  <c r="E75" i="6"/>
  <c r="E91" i="6" s="1"/>
  <c r="D75" i="6"/>
  <c r="C75" i="6"/>
  <c r="U73" i="6"/>
  <c r="T73" i="6"/>
  <c r="S73" i="6"/>
  <c r="R73" i="6"/>
  <c r="Q73" i="6"/>
  <c r="P73" i="6"/>
  <c r="K73" i="6"/>
  <c r="J73" i="6"/>
  <c r="I73" i="6"/>
  <c r="G73" i="6"/>
  <c r="F73" i="6"/>
  <c r="E73" i="6"/>
  <c r="D73" i="6"/>
  <c r="C73" i="6"/>
  <c r="O69" i="6"/>
  <c r="O87" i="6" s="1"/>
  <c r="H69" i="6"/>
  <c r="M68" i="6"/>
  <c r="H68" i="6"/>
  <c r="O66" i="6"/>
  <c r="O84" i="6" s="1"/>
  <c r="N66" i="6"/>
  <c r="N67" i="6" s="1"/>
  <c r="O64" i="6"/>
  <c r="O82" i="6" s="1"/>
  <c r="M64" i="6"/>
  <c r="H64" i="6"/>
  <c r="H82" i="6" s="1"/>
  <c r="N63" i="6"/>
  <c r="N81" i="6" s="1"/>
  <c r="M63" i="6"/>
  <c r="M67" i="6" s="1"/>
  <c r="M85" i="6" s="1"/>
  <c r="I63" i="6"/>
  <c r="I81" i="6" s="1"/>
  <c r="M62" i="6"/>
  <c r="M61" i="6"/>
  <c r="N60" i="6"/>
  <c r="N78" i="6" s="1"/>
  <c r="M60" i="6"/>
  <c r="N59" i="6"/>
  <c r="N77" i="6" s="1"/>
  <c r="H59" i="6"/>
  <c r="U55" i="6"/>
  <c r="T55" i="6"/>
  <c r="R55" i="6"/>
  <c r="Q55" i="6"/>
  <c r="P55" i="6"/>
  <c r="O55" i="6"/>
  <c r="N55" i="6"/>
  <c r="K55" i="6"/>
  <c r="J55" i="6"/>
  <c r="I55" i="6"/>
  <c r="G55" i="6"/>
  <c r="F55" i="6"/>
  <c r="E55" i="6"/>
  <c r="D55" i="6"/>
  <c r="H51" i="6"/>
  <c r="H87" i="6" s="1"/>
  <c r="H50" i="6"/>
  <c r="H86" i="6" s="1"/>
  <c r="H48" i="6"/>
  <c r="C46" i="6"/>
  <c r="S45" i="6"/>
  <c r="S81" i="6" s="1"/>
  <c r="M44" i="6"/>
  <c r="M46" i="6" s="1"/>
  <c r="M82" i="6" s="1"/>
  <c r="H44" i="6"/>
  <c r="M43" i="6"/>
  <c r="M79" i="6" s="1"/>
  <c r="V79" i="6" s="1"/>
  <c r="M42" i="6"/>
  <c r="H41" i="6"/>
  <c r="H77" i="6" s="1"/>
  <c r="AB38" i="6"/>
  <c r="AA37" i="6"/>
  <c r="AC37" i="6" s="1"/>
  <c r="U37" i="6"/>
  <c r="T37" i="6"/>
  <c r="S37" i="6"/>
  <c r="Q37" i="6"/>
  <c r="P37" i="6"/>
  <c r="O37" i="6"/>
  <c r="N37" i="6"/>
  <c r="M37" i="6"/>
  <c r="K37" i="6"/>
  <c r="J37" i="6"/>
  <c r="I37" i="6"/>
  <c r="H37" i="6"/>
  <c r="G37" i="6"/>
  <c r="F37" i="6"/>
  <c r="E37" i="6"/>
  <c r="D37" i="6"/>
  <c r="C37" i="6"/>
  <c r="B37" i="6"/>
  <c r="B54" i="6" s="1"/>
  <c r="B72" i="6" s="1"/>
  <c r="B90" i="6" s="1"/>
  <c r="U36" i="6"/>
  <c r="S36" i="6"/>
  <c r="Q36" i="6"/>
  <c r="V36" i="6" s="1"/>
  <c r="P36" i="6"/>
  <c r="K36" i="6"/>
  <c r="I36" i="6"/>
  <c r="G36" i="6"/>
  <c r="F36" i="6"/>
  <c r="C36" i="6"/>
  <c r="B36" i="6"/>
  <c r="B53" i="6" s="1"/>
  <c r="B71" i="6" s="1"/>
  <c r="B89" i="6" s="1"/>
  <c r="AA35" i="6"/>
  <c r="AC35" i="6" s="1"/>
  <c r="U35" i="6"/>
  <c r="T35" i="6"/>
  <c r="S35" i="6"/>
  <c r="R35" i="6"/>
  <c r="Q35" i="6"/>
  <c r="P35" i="6"/>
  <c r="O35" i="6"/>
  <c r="N35" i="6"/>
  <c r="M35" i="6"/>
  <c r="K35" i="6"/>
  <c r="J35" i="6"/>
  <c r="I35" i="6"/>
  <c r="H35" i="6"/>
  <c r="G35" i="6"/>
  <c r="F35" i="6"/>
  <c r="E35" i="6"/>
  <c r="D35" i="6"/>
  <c r="C35" i="6"/>
  <c r="B35" i="6"/>
  <c r="B52" i="6" s="1"/>
  <c r="B70" i="6" s="1"/>
  <c r="B88" i="6" s="1"/>
  <c r="AA34" i="6"/>
  <c r="AC34" i="6" s="1"/>
  <c r="U34" i="6"/>
  <c r="T34" i="6"/>
  <c r="S34" i="6"/>
  <c r="Q34" i="6"/>
  <c r="O34" i="6"/>
  <c r="N34" i="6"/>
  <c r="M34" i="6"/>
  <c r="K34" i="6"/>
  <c r="J34" i="6"/>
  <c r="I34" i="6"/>
  <c r="G34" i="6"/>
  <c r="F34" i="6"/>
  <c r="E34" i="6"/>
  <c r="D34" i="6"/>
  <c r="C34" i="6"/>
  <c r="B34" i="6"/>
  <c r="B51" i="6" s="1"/>
  <c r="B69" i="6" s="1"/>
  <c r="B87" i="6" s="1"/>
  <c r="AA33" i="6"/>
  <c r="AC33" i="6" s="1"/>
  <c r="C33" i="6"/>
  <c r="B33" i="6"/>
  <c r="B50" i="6" s="1"/>
  <c r="B68" i="6" s="1"/>
  <c r="B86" i="6" s="1"/>
  <c r="C32" i="6"/>
  <c r="B32" i="6"/>
  <c r="B49" i="6" s="1"/>
  <c r="B67" i="6" s="1"/>
  <c r="B85" i="6" s="1"/>
  <c r="AA31" i="6"/>
  <c r="AC31" i="6" s="1"/>
  <c r="B31" i="6"/>
  <c r="B48" i="6" s="1"/>
  <c r="B66" i="6" s="1"/>
  <c r="B84" i="6" s="1"/>
  <c r="AA29" i="6"/>
  <c r="AC29" i="6" s="1"/>
  <c r="U29" i="6"/>
  <c r="S29" i="6"/>
  <c r="R29" i="6"/>
  <c r="Q29" i="6"/>
  <c r="P29" i="6"/>
  <c r="K29" i="6"/>
  <c r="I29" i="6"/>
  <c r="H29" i="6"/>
  <c r="G29" i="6"/>
  <c r="F29" i="6"/>
  <c r="C29" i="6"/>
  <c r="B29" i="6"/>
  <c r="B46" i="6" s="1"/>
  <c r="B64" i="6" s="1"/>
  <c r="B82" i="6" s="1"/>
  <c r="AA28" i="6"/>
  <c r="AC28" i="6" s="1"/>
  <c r="U28" i="6"/>
  <c r="T28" i="6"/>
  <c r="S28" i="6"/>
  <c r="R28" i="6"/>
  <c r="Q28" i="6"/>
  <c r="P28" i="6"/>
  <c r="O28" i="6"/>
  <c r="N28" i="6"/>
  <c r="V28" i="6" s="1"/>
  <c r="M28" i="6"/>
  <c r="K28" i="6"/>
  <c r="J28" i="6"/>
  <c r="I28" i="6"/>
  <c r="H28" i="6"/>
  <c r="G28" i="6"/>
  <c r="F28" i="6"/>
  <c r="E28" i="6"/>
  <c r="D28" i="6"/>
  <c r="C28" i="6"/>
  <c r="B28" i="6"/>
  <c r="B45" i="6" s="1"/>
  <c r="B63" i="6" s="1"/>
  <c r="B81" i="6" s="1"/>
  <c r="AA27" i="6"/>
  <c r="AC27" i="6" s="1"/>
  <c r="U27" i="6"/>
  <c r="S27" i="6"/>
  <c r="R27" i="6"/>
  <c r="Q27" i="6"/>
  <c r="P27" i="6"/>
  <c r="O27" i="6"/>
  <c r="N27" i="6"/>
  <c r="D27" i="6"/>
  <c r="C27" i="6"/>
  <c r="B27" i="6"/>
  <c r="B44" i="6" s="1"/>
  <c r="B62" i="6" s="1"/>
  <c r="B80" i="6" s="1"/>
  <c r="AA26" i="6"/>
  <c r="AC26" i="6" s="1"/>
  <c r="U26" i="6"/>
  <c r="T26" i="6"/>
  <c r="S26" i="6"/>
  <c r="R26" i="6"/>
  <c r="Q26" i="6"/>
  <c r="P26" i="6"/>
  <c r="O26" i="6"/>
  <c r="N26" i="6"/>
  <c r="M26" i="6"/>
  <c r="K26" i="6"/>
  <c r="J26" i="6"/>
  <c r="I26" i="6"/>
  <c r="H26" i="6"/>
  <c r="G26" i="6"/>
  <c r="F26" i="6"/>
  <c r="E26" i="6"/>
  <c r="C26" i="6"/>
  <c r="B26" i="6"/>
  <c r="B43" i="6" s="1"/>
  <c r="B61" i="6" s="1"/>
  <c r="B79" i="6" s="1"/>
  <c r="AA25" i="6"/>
  <c r="AC25" i="6" s="1"/>
  <c r="B25" i="6"/>
  <c r="B42" i="6" s="1"/>
  <c r="B60" i="6" s="1"/>
  <c r="B78" i="6" s="1"/>
  <c r="AA24" i="6"/>
  <c r="AC24" i="6" s="1"/>
  <c r="U24" i="6"/>
  <c r="T24" i="6"/>
  <c r="S24" i="6"/>
  <c r="R24" i="6"/>
  <c r="Q24" i="6"/>
  <c r="P24" i="6"/>
  <c r="N24" i="6"/>
  <c r="M24" i="6"/>
  <c r="K24" i="6"/>
  <c r="J24" i="6"/>
  <c r="I24" i="6"/>
  <c r="H24" i="6"/>
  <c r="G24" i="6"/>
  <c r="F24" i="6"/>
  <c r="C24" i="6"/>
  <c r="B24" i="6"/>
  <c r="B41" i="6" s="1"/>
  <c r="B59" i="6" s="1"/>
  <c r="B77" i="6" s="1"/>
  <c r="AA23" i="6"/>
  <c r="AC23" i="6" s="1"/>
  <c r="U23" i="6"/>
  <c r="S23" i="6"/>
  <c r="R23" i="6"/>
  <c r="Q23" i="6"/>
  <c r="P23" i="6"/>
  <c r="O23" i="6"/>
  <c r="N23" i="6"/>
  <c r="M23" i="6"/>
  <c r="K23" i="6"/>
  <c r="J23" i="6"/>
  <c r="I23" i="6"/>
  <c r="H23" i="6"/>
  <c r="G23" i="6"/>
  <c r="F23" i="6"/>
  <c r="D23" i="6"/>
  <c r="C23" i="6"/>
  <c r="B23" i="6"/>
  <c r="B40" i="6" s="1"/>
  <c r="B58" i="6" s="1"/>
  <c r="B76" i="6" s="1"/>
  <c r="Z38" i="6"/>
  <c r="T22" i="6"/>
  <c r="S22" i="6"/>
  <c r="R22" i="6"/>
  <c r="Q22" i="6"/>
  <c r="P22" i="6"/>
  <c r="O22" i="6"/>
  <c r="N22" i="6"/>
  <c r="M22" i="6"/>
  <c r="K22" i="6"/>
  <c r="J22" i="6"/>
  <c r="I22" i="6"/>
  <c r="H22" i="6"/>
  <c r="G22" i="6"/>
  <c r="F22" i="6"/>
  <c r="E22" i="6"/>
  <c r="D22" i="6"/>
  <c r="C22" i="6"/>
  <c r="B39" i="6"/>
  <c r="B57" i="6" s="1"/>
  <c r="B75" i="6" s="1"/>
  <c r="V18" i="6"/>
  <c r="L18" i="6"/>
  <c r="V17" i="6"/>
  <c r="L17" i="6"/>
  <c r="V16" i="6"/>
  <c r="L16" i="6"/>
  <c r="V15" i="6"/>
  <c r="L15" i="6"/>
  <c r="V14" i="6"/>
  <c r="L14" i="6"/>
  <c r="V13" i="6"/>
  <c r="L13" i="6"/>
  <c r="V12" i="6"/>
  <c r="L12" i="6"/>
  <c r="V10" i="6"/>
  <c r="V9" i="6"/>
  <c r="L9" i="6"/>
  <c r="V8" i="6"/>
  <c r="L8" i="6"/>
  <c r="V7" i="6"/>
  <c r="L7" i="6"/>
  <c r="V6" i="6"/>
  <c r="L6" i="6"/>
  <c r="V5" i="6"/>
  <c r="L5" i="6"/>
  <c r="V4" i="6"/>
  <c r="L4" i="6"/>
  <c r="V3" i="6"/>
  <c r="L3" i="6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A21" i="5"/>
  <c r="Z29" i="5"/>
  <c r="Z26" i="5"/>
  <c r="Z23" i="5"/>
  <c r="Z33" i="5"/>
  <c r="Z21" i="5"/>
  <c r="Z31" i="5"/>
  <c r="Z30" i="5"/>
  <c r="Z27" i="5"/>
  <c r="Z35" i="5"/>
  <c r="Z25" i="5"/>
  <c r="Z32" i="5"/>
  <c r="Z22" i="5"/>
  <c r="Y33" i="5"/>
  <c r="Y31" i="5"/>
  <c r="Y30" i="5"/>
  <c r="Y24" i="5"/>
  <c r="Y27" i="5"/>
  <c r="Y32" i="5"/>
  <c r="Y29" i="5"/>
  <c r="Y21" i="5"/>
  <c r="Y35" i="5"/>
  <c r="Y25" i="5"/>
  <c r="Y22" i="5"/>
  <c r="Y23" i="5"/>
  <c r="Y34" i="5"/>
  <c r="X31" i="5"/>
  <c r="X35" i="5"/>
  <c r="X30" i="5"/>
  <c r="X29" i="5"/>
  <c r="X27" i="5"/>
  <c r="X25" i="5"/>
  <c r="X21" i="5"/>
  <c r="X22" i="5"/>
  <c r="X34" i="5"/>
  <c r="X33" i="5"/>
  <c r="X32" i="5"/>
  <c r="X26" i="5"/>
  <c r="X28" i="5"/>
  <c r="U35" i="5"/>
  <c r="S35" i="5"/>
  <c r="Q35" i="5"/>
  <c r="P35" i="5"/>
  <c r="K35" i="5"/>
  <c r="I35" i="5"/>
  <c r="H35" i="5"/>
  <c r="G35" i="5"/>
  <c r="F35" i="5"/>
  <c r="T35" i="5"/>
  <c r="R35" i="5"/>
  <c r="O35" i="5"/>
  <c r="N35" i="5"/>
  <c r="M35" i="5"/>
  <c r="J35" i="5"/>
  <c r="E35" i="5"/>
  <c r="D35" i="5"/>
  <c r="U34" i="5"/>
  <c r="T34" i="5"/>
  <c r="S34" i="5"/>
  <c r="R34" i="5"/>
  <c r="Q34" i="5"/>
  <c r="P34" i="5"/>
  <c r="O34" i="5"/>
  <c r="N34" i="5"/>
  <c r="M34" i="5"/>
  <c r="K34" i="5"/>
  <c r="J34" i="5"/>
  <c r="I34" i="5"/>
  <c r="H34" i="5"/>
  <c r="G34" i="5"/>
  <c r="F34" i="5"/>
  <c r="E34" i="5"/>
  <c r="D34" i="5"/>
  <c r="T33" i="5"/>
  <c r="E33" i="5"/>
  <c r="U33" i="5"/>
  <c r="S33" i="5"/>
  <c r="R33" i="5"/>
  <c r="Q33" i="5"/>
  <c r="P33" i="5"/>
  <c r="O33" i="5"/>
  <c r="N33" i="5"/>
  <c r="M33" i="5"/>
  <c r="K33" i="5"/>
  <c r="J33" i="5"/>
  <c r="I33" i="5"/>
  <c r="H33" i="5"/>
  <c r="G33" i="5"/>
  <c r="F33" i="5"/>
  <c r="D33" i="5"/>
  <c r="C33" i="5"/>
  <c r="L33" i="5" s="1"/>
  <c r="R32" i="5"/>
  <c r="Q32" i="5"/>
  <c r="P32" i="5"/>
  <c r="O32" i="5"/>
  <c r="N32" i="5"/>
  <c r="M32" i="5"/>
  <c r="U31" i="5"/>
  <c r="T31" i="5"/>
  <c r="S31" i="5"/>
  <c r="R31" i="5"/>
  <c r="Q31" i="5"/>
  <c r="P31" i="5"/>
  <c r="O31" i="5"/>
  <c r="N31" i="5"/>
  <c r="M31" i="5"/>
  <c r="K31" i="5"/>
  <c r="J31" i="5"/>
  <c r="I31" i="5"/>
  <c r="H31" i="5"/>
  <c r="G31" i="5"/>
  <c r="F31" i="5"/>
  <c r="E31" i="5"/>
  <c r="D31" i="5"/>
  <c r="C31" i="5"/>
  <c r="M30" i="5"/>
  <c r="J30" i="5"/>
  <c r="U30" i="5"/>
  <c r="T30" i="5"/>
  <c r="S30" i="5"/>
  <c r="R30" i="5"/>
  <c r="Q30" i="5"/>
  <c r="P30" i="5"/>
  <c r="O30" i="5"/>
  <c r="N30" i="5"/>
  <c r="K30" i="5"/>
  <c r="I30" i="5"/>
  <c r="H30" i="5"/>
  <c r="G30" i="5"/>
  <c r="F30" i="5"/>
  <c r="E30" i="5"/>
  <c r="D30" i="5"/>
  <c r="L30" i="5" s="1"/>
  <c r="C30" i="5"/>
  <c r="N29" i="5"/>
  <c r="I29" i="5"/>
  <c r="N28" i="5"/>
  <c r="U29" i="5"/>
  <c r="T29" i="5"/>
  <c r="S29" i="5"/>
  <c r="R29" i="5"/>
  <c r="Q29" i="5"/>
  <c r="P29" i="5"/>
  <c r="O29" i="5"/>
  <c r="M29" i="5"/>
  <c r="K29" i="5"/>
  <c r="J29" i="5"/>
  <c r="H29" i="5"/>
  <c r="G29" i="5"/>
  <c r="F29" i="5"/>
  <c r="E29" i="5"/>
  <c r="D29" i="5"/>
  <c r="L29" i="5" s="1"/>
  <c r="C29" i="5"/>
  <c r="U28" i="5"/>
  <c r="T28" i="5"/>
  <c r="S28" i="5"/>
  <c r="R28" i="5"/>
  <c r="Q28" i="5"/>
  <c r="P28" i="5"/>
  <c r="O28" i="5"/>
  <c r="M28" i="5"/>
  <c r="K28" i="5"/>
  <c r="J28" i="5"/>
  <c r="I28" i="5"/>
  <c r="H28" i="5"/>
  <c r="G28" i="5"/>
  <c r="F28" i="5"/>
  <c r="E28" i="5"/>
  <c r="D28" i="5"/>
  <c r="Q27" i="5"/>
  <c r="K27" i="5"/>
  <c r="S27" i="5"/>
  <c r="G27" i="5"/>
  <c r="I27" i="5"/>
  <c r="U27" i="5"/>
  <c r="T27" i="5"/>
  <c r="R27" i="5"/>
  <c r="P27" i="5"/>
  <c r="O27" i="5"/>
  <c r="N27" i="5"/>
  <c r="M27" i="5"/>
  <c r="J27" i="5"/>
  <c r="H27" i="5"/>
  <c r="F27" i="5"/>
  <c r="E27" i="5"/>
  <c r="D27" i="5"/>
  <c r="C27" i="5"/>
  <c r="I26" i="5"/>
  <c r="T26" i="5"/>
  <c r="S26" i="5"/>
  <c r="P26" i="5"/>
  <c r="O26" i="5"/>
  <c r="N26" i="5"/>
  <c r="M26" i="5"/>
  <c r="J26" i="5"/>
  <c r="E26" i="5"/>
  <c r="D26" i="5"/>
  <c r="U25" i="5"/>
  <c r="T25" i="5"/>
  <c r="S25" i="5"/>
  <c r="R25" i="5"/>
  <c r="Q25" i="5"/>
  <c r="P25" i="5"/>
  <c r="O25" i="5"/>
  <c r="N25" i="5"/>
  <c r="M25" i="5"/>
  <c r="V25" i="5" s="1"/>
  <c r="K25" i="5"/>
  <c r="J25" i="5"/>
  <c r="I25" i="5"/>
  <c r="H25" i="5"/>
  <c r="G25" i="5"/>
  <c r="F25" i="5"/>
  <c r="E25" i="5"/>
  <c r="D25" i="5"/>
  <c r="C25" i="5"/>
  <c r="L25" i="5" s="1"/>
  <c r="D24" i="5"/>
  <c r="N24" i="5"/>
  <c r="S24" i="5"/>
  <c r="I24" i="5"/>
  <c r="O23" i="5"/>
  <c r="E23" i="5"/>
  <c r="D23" i="5"/>
  <c r="T22" i="5"/>
  <c r="M22" i="5"/>
  <c r="J22" i="5"/>
  <c r="E22" i="5"/>
  <c r="Q21" i="5"/>
  <c r="K21" i="5"/>
  <c r="F21" i="5"/>
  <c r="L4" i="5"/>
  <c r="AC12" i="5"/>
  <c r="AC14" i="5"/>
  <c r="AC7" i="5"/>
  <c r="L12" i="5"/>
  <c r="D91" i="6" l="1"/>
  <c r="W88" i="6"/>
  <c r="X88" i="6" s="1"/>
  <c r="AB88" i="6" s="1"/>
  <c r="L88" i="6"/>
  <c r="W9" i="6"/>
  <c r="V35" i="6"/>
  <c r="W16" i="6"/>
  <c r="AA16" i="6" s="1"/>
  <c r="L36" i="6"/>
  <c r="W36" i="6" s="1"/>
  <c r="W15" i="6"/>
  <c r="Z15" i="6" s="1"/>
  <c r="V34" i="6"/>
  <c r="L34" i="6"/>
  <c r="W8" i="6"/>
  <c r="Z8" i="6" s="1"/>
  <c r="V29" i="6"/>
  <c r="V32" i="6"/>
  <c r="W14" i="6"/>
  <c r="V37" i="6"/>
  <c r="W18" i="6"/>
  <c r="W3" i="6"/>
  <c r="W5" i="6"/>
  <c r="W7" i="6"/>
  <c r="Z7" i="6" s="1"/>
  <c r="W13" i="6"/>
  <c r="V26" i="6"/>
  <c r="W4" i="6"/>
  <c r="W6" i="6"/>
  <c r="W12" i="6"/>
  <c r="V24" i="6"/>
  <c r="V27" i="6"/>
  <c r="V31" i="6"/>
  <c r="L32" i="6"/>
  <c r="W10" i="6"/>
  <c r="AA10" i="6" s="1"/>
  <c r="L22" i="6"/>
  <c r="L23" i="6"/>
  <c r="L26" i="6"/>
  <c r="L29" i="6"/>
  <c r="L37" i="6"/>
  <c r="W17" i="6"/>
  <c r="AA17" i="6" s="1"/>
  <c r="L24" i="6"/>
  <c r="L28" i="6"/>
  <c r="W28" i="6" s="1"/>
  <c r="L25" i="6"/>
  <c r="V23" i="6"/>
  <c r="V22" i="6"/>
  <c r="W22" i="6" s="1"/>
  <c r="Y15" i="6"/>
  <c r="AA15" i="6"/>
  <c r="AC22" i="6"/>
  <c r="N85" i="6"/>
  <c r="N69" i="6"/>
  <c r="N87" i="6" s="1"/>
  <c r="AA9" i="6"/>
  <c r="Y9" i="6"/>
  <c r="L76" i="6"/>
  <c r="L86" i="6"/>
  <c r="Y38" i="6"/>
  <c r="L27" i="6"/>
  <c r="L33" i="6"/>
  <c r="W33" i="6" s="1"/>
  <c r="M50" i="6"/>
  <c r="M86" i="6" s="1"/>
  <c r="F91" i="6"/>
  <c r="J91" i="6"/>
  <c r="S91" i="6"/>
  <c r="V76" i="6"/>
  <c r="L79" i="6"/>
  <c r="W79" i="6" s="1"/>
  <c r="X79" i="6" s="1"/>
  <c r="AB79" i="6" s="1"/>
  <c r="M80" i="6"/>
  <c r="V80" i="6" s="1"/>
  <c r="L87" i="6"/>
  <c r="V89" i="6"/>
  <c r="W89" i="6" s="1"/>
  <c r="X89" i="6" s="1"/>
  <c r="AB89" i="6" s="1"/>
  <c r="C48" i="6"/>
  <c r="C84" i="6" s="1"/>
  <c r="C82" i="6"/>
  <c r="L82" i="6" s="1"/>
  <c r="C55" i="6"/>
  <c r="G91" i="6"/>
  <c r="K91" i="6"/>
  <c r="X38" i="6"/>
  <c r="V25" i="6"/>
  <c r="L31" i="6"/>
  <c r="AA32" i="6"/>
  <c r="AC32" i="6" s="1"/>
  <c r="L35" i="6"/>
  <c r="W35" i="6" s="1"/>
  <c r="AA36" i="6"/>
  <c r="AC36" i="6" s="1"/>
  <c r="N64" i="6"/>
  <c r="M69" i="6"/>
  <c r="M87" i="6" s="1"/>
  <c r="V87" i="6" s="1"/>
  <c r="Q91" i="6"/>
  <c r="U91" i="6"/>
  <c r="V77" i="6"/>
  <c r="W77" i="6" s="1"/>
  <c r="X77" i="6" s="1"/>
  <c r="AB77" i="6" s="1"/>
  <c r="S55" i="6"/>
  <c r="O67" i="6"/>
  <c r="O85" i="6" s="1"/>
  <c r="V85" i="6" s="1"/>
  <c r="W85" i="6" s="1"/>
  <c r="X85" i="6" s="1"/>
  <c r="AB85" i="6" s="1"/>
  <c r="M78" i="6"/>
  <c r="V78" i="6" s="1"/>
  <c r="W78" i="6" s="1"/>
  <c r="X78" i="6" s="1"/>
  <c r="AB78" i="6" s="1"/>
  <c r="M81" i="6"/>
  <c r="V81" i="6" s="1"/>
  <c r="W81" i="6" s="1"/>
  <c r="X81" i="6" s="1"/>
  <c r="AB81" i="6" s="1"/>
  <c r="L75" i="6"/>
  <c r="H55" i="6"/>
  <c r="H62" i="6"/>
  <c r="H66" i="6" s="1"/>
  <c r="H84" i="6" s="1"/>
  <c r="W87" i="6" l="1"/>
  <c r="X87" i="6" s="1"/>
  <c r="AB87" i="6" s="1"/>
  <c r="W76" i="6"/>
  <c r="X76" i="6" s="1"/>
  <c r="AB76" i="6" s="1"/>
  <c r="W29" i="6"/>
  <c r="Y6" i="6"/>
  <c r="Z6" i="6"/>
  <c r="Y5" i="6"/>
  <c r="Z5" i="6"/>
  <c r="Y14" i="6"/>
  <c r="Z14" i="6"/>
  <c r="AA14" i="6"/>
  <c r="AA3" i="6"/>
  <c r="Z3" i="6"/>
  <c r="Y3" i="6"/>
  <c r="AA6" i="6"/>
  <c r="AA8" i="6"/>
  <c r="AA12" i="6"/>
  <c r="Z12" i="6"/>
  <c r="AA13" i="6"/>
  <c r="Z13" i="6"/>
  <c r="Y16" i="6"/>
  <c r="Z16" i="6"/>
  <c r="W23" i="6"/>
  <c r="Y4" i="6"/>
  <c r="Z4" i="6"/>
  <c r="AA4" i="6"/>
  <c r="Y18" i="6"/>
  <c r="Z18" i="6"/>
  <c r="Y17" i="6"/>
  <c r="Z17" i="6"/>
  <c r="W34" i="6"/>
  <c r="Y7" i="6"/>
  <c r="AA7" i="6"/>
  <c r="W26" i="6"/>
  <c r="W27" i="6"/>
  <c r="Y8" i="6"/>
  <c r="Y10" i="6"/>
  <c r="Z10" i="6"/>
  <c r="W32" i="6"/>
  <c r="Y13" i="6"/>
  <c r="W31" i="6"/>
  <c r="Y12" i="6"/>
  <c r="W25" i="6"/>
  <c r="W37" i="6"/>
  <c r="AA18" i="6"/>
  <c r="AA5" i="6"/>
  <c r="W24" i="6"/>
  <c r="AA38" i="6"/>
  <c r="M91" i="6"/>
  <c r="H73" i="6"/>
  <c r="M73" i="6"/>
  <c r="W75" i="6"/>
  <c r="L84" i="6"/>
  <c r="W84" i="6" s="1"/>
  <c r="X84" i="6" s="1"/>
  <c r="AB84" i="6" s="1"/>
  <c r="O91" i="6"/>
  <c r="C91" i="6"/>
  <c r="O73" i="6"/>
  <c r="N82" i="6"/>
  <c r="N68" i="6"/>
  <c r="N86" i="6" s="1"/>
  <c r="V86" i="6" s="1"/>
  <c r="W86" i="6" s="1"/>
  <c r="X86" i="6" s="1"/>
  <c r="AB86" i="6" s="1"/>
  <c r="H80" i="6"/>
  <c r="M55" i="6"/>
  <c r="AC38" i="6"/>
  <c r="L80" i="6" l="1"/>
  <c r="H91" i="6"/>
  <c r="N91" i="6"/>
  <c r="V82" i="6"/>
  <c r="X75" i="6"/>
  <c r="N73" i="6"/>
  <c r="U85" i="5"/>
  <c r="T85" i="5"/>
  <c r="S85" i="5"/>
  <c r="R85" i="5"/>
  <c r="Q85" i="5"/>
  <c r="P85" i="5"/>
  <c r="O85" i="5"/>
  <c r="N85" i="5"/>
  <c r="M85" i="5"/>
  <c r="K85" i="5"/>
  <c r="J85" i="5"/>
  <c r="I85" i="5"/>
  <c r="H85" i="5"/>
  <c r="G85" i="5"/>
  <c r="F85" i="5"/>
  <c r="E85" i="5"/>
  <c r="D85" i="5"/>
  <c r="C85" i="5"/>
  <c r="U84" i="5"/>
  <c r="T84" i="5"/>
  <c r="S84" i="5"/>
  <c r="R84" i="5"/>
  <c r="Q84" i="5"/>
  <c r="P84" i="5"/>
  <c r="O84" i="5"/>
  <c r="N84" i="5"/>
  <c r="M84" i="5"/>
  <c r="K84" i="5"/>
  <c r="J84" i="5"/>
  <c r="I84" i="5"/>
  <c r="H84" i="5"/>
  <c r="G84" i="5"/>
  <c r="F84" i="5"/>
  <c r="E84" i="5"/>
  <c r="D84" i="5"/>
  <c r="C84" i="5"/>
  <c r="U83" i="5"/>
  <c r="T83" i="5"/>
  <c r="S83" i="5"/>
  <c r="R83" i="5"/>
  <c r="Q83" i="5"/>
  <c r="P83" i="5"/>
  <c r="O83" i="5"/>
  <c r="N83" i="5"/>
  <c r="M83" i="5"/>
  <c r="K83" i="5"/>
  <c r="J83" i="5"/>
  <c r="I83" i="5"/>
  <c r="H83" i="5"/>
  <c r="G83" i="5"/>
  <c r="F83" i="5"/>
  <c r="E83" i="5"/>
  <c r="D83" i="5"/>
  <c r="C83" i="5"/>
  <c r="AA82" i="5"/>
  <c r="Z82" i="5"/>
  <c r="Y82" i="5"/>
  <c r="U82" i="5"/>
  <c r="T82" i="5"/>
  <c r="S82" i="5"/>
  <c r="R82" i="5"/>
  <c r="Q82" i="5"/>
  <c r="P82" i="5"/>
  <c r="K82" i="5"/>
  <c r="J82" i="5"/>
  <c r="I82" i="5"/>
  <c r="G82" i="5"/>
  <c r="F82" i="5"/>
  <c r="E82" i="5"/>
  <c r="D82" i="5"/>
  <c r="C82" i="5"/>
  <c r="Y81" i="5"/>
  <c r="U81" i="5"/>
  <c r="T81" i="5"/>
  <c r="S81" i="5"/>
  <c r="R81" i="5"/>
  <c r="Q81" i="5"/>
  <c r="P81" i="5"/>
  <c r="O81" i="5"/>
  <c r="K81" i="5"/>
  <c r="J81" i="5"/>
  <c r="I81" i="5"/>
  <c r="G81" i="5"/>
  <c r="F81" i="5"/>
  <c r="E81" i="5"/>
  <c r="D81" i="5"/>
  <c r="C81" i="5"/>
  <c r="AA80" i="5"/>
  <c r="Z80" i="5"/>
  <c r="Z81" i="5" s="1"/>
  <c r="U80" i="5"/>
  <c r="T80" i="5"/>
  <c r="S80" i="5"/>
  <c r="R80" i="5"/>
  <c r="Q80" i="5"/>
  <c r="P80" i="5"/>
  <c r="K80" i="5"/>
  <c r="J80" i="5"/>
  <c r="I80" i="5"/>
  <c r="H80" i="5"/>
  <c r="G80" i="5"/>
  <c r="F80" i="5"/>
  <c r="E80" i="5"/>
  <c r="D80" i="5"/>
  <c r="C80" i="5"/>
  <c r="AA79" i="5"/>
  <c r="Z79" i="5"/>
  <c r="Y79" i="5"/>
  <c r="U79" i="5"/>
  <c r="T79" i="5"/>
  <c r="S79" i="5"/>
  <c r="R79" i="5"/>
  <c r="Q79" i="5"/>
  <c r="P79" i="5"/>
  <c r="M79" i="5"/>
  <c r="K79" i="5"/>
  <c r="J79" i="5"/>
  <c r="I79" i="5"/>
  <c r="G79" i="5"/>
  <c r="F79" i="5"/>
  <c r="E79" i="5"/>
  <c r="D79" i="5"/>
  <c r="Z78" i="5"/>
  <c r="Y78" i="5"/>
  <c r="U78" i="5"/>
  <c r="T78" i="5"/>
  <c r="S78" i="5"/>
  <c r="R78" i="5"/>
  <c r="Q78" i="5"/>
  <c r="P78" i="5"/>
  <c r="K78" i="5"/>
  <c r="J78" i="5"/>
  <c r="I78" i="5"/>
  <c r="G78" i="5"/>
  <c r="F78" i="5"/>
  <c r="E78" i="5"/>
  <c r="D78" i="5"/>
  <c r="AA77" i="5"/>
  <c r="AA81" i="5" s="1"/>
  <c r="Z77" i="5"/>
  <c r="Y77" i="5"/>
  <c r="U77" i="5"/>
  <c r="T77" i="5"/>
  <c r="R77" i="5"/>
  <c r="Q77" i="5"/>
  <c r="P77" i="5"/>
  <c r="O77" i="5"/>
  <c r="K77" i="5"/>
  <c r="J77" i="5"/>
  <c r="H77" i="5"/>
  <c r="G77" i="5"/>
  <c r="F77" i="5"/>
  <c r="E77" i="5"/>
  <c r="D77" i="5"/>
  <c r="C77" i="5"/>
  <c r="AA76" i="5"/>
  <c r="U76" i="5"/>
  <c r="T76" i="5"/>
  <c r="S76" i="5"/>
  <c r="R76" i="5"/>
  <c r="Q76" i="5"/>
  <c r="P76" i="5"/>
  <c r="O76" i="5"/>
  <c r="N76" i="5"/>
  <c r="K76" i="5"/>
  <c r="J76" i="5"/>
  <c r="I76" i="5"/>
  <c r="G76" i="5"/>
  <c r="F76" i="5"/>
  <c r="E76" i="5"/>
  <c r="D76" i="5"/>
  <c r="C76" i="5"/>
  <c r="U75" i="5"/>
  <c r="T75" i="5"/>
  <c r="S75" i="5"/>
  <c r="R75" i="5"/>
  <c r="Q75" i="5"/>
  <c r="P75" i="5"/>
  <c r="O75" i="5"/>
  <c r="N75" i="5"/>
  <c r="K75" i="5"/>
  <c r="J75" i="5"/>
  <c r="I75" i="5"/>
  <c r="H75" i="5"/>
  <c r="G75" i="5"/>
  <c r="F75" i="5"/>
  <c r="E75" i="5"/>
  <c r="D75" i="5"/>
  <c r="C75" i="5"/>
  <c r="AA74" i="5"/>
  <c r="AA78" i="5" s="1"/>
  <c r="Z74" i="5"/>
  <c r="Z75" i="5" s="1"/>
  <c r="U74" i="5"/>
  <c r="T74" i="5"/>
  <c r="S74" i="5"/>
  <c r="R74" i="5"/>
  <c r="Q74" i="5"/>
  <c r="P74" i="5"/>
  <c r="O74" i="5"/>
  <c r="K74" i="5"/>
  <c r="J74" i="5"/>
  <c r="I74" i="5"/>
  <c r="H74" i="5"/>
  <c r="G74" i="5"/>
  <c r="F74" i="5"/>
  <c r="E74" i="5"/>
  <c r="D74" i="5"/>
  <c r="C74" i="5"/>
  <c r="Z73" i="5"/>
  <c r="U73" i="5"/>
  <c r="T73" i="5"/>
  <c r="S73" i="5"/>
  <c r="R73" i="5"/>
  <c r="Q73" i="5"/>
  <c r="P73" i="5"/>
  <c r="O73" i="5"/>
  <c r="M73" i="5"/>
  <c r="K73" i="5"/>
  <c r="J73" i="5"/>
  <c r="I73" i="5"/>
  <c r="G73" i="5"/>
  <c r="F73" i="5"/>
  <c r="E73" i="5"/>
  <c r="D73" i="5"/>
  <c r="C73" i="5"/>
  <c r="AA72" i="5"/>
  <c r="Z72" i="5"/>
  <c r="Y72" i="5"/>
  <c r="U72" i="5"/>
  <c r="T72" i="5"/>
  <c r="S72" i="5"/>
  <c r="R72" i="5"/>
  <c r="Q72" i="5"/>
  <c r="P72" i="5"/>
  <c r="O72" i="5"/>
  <c r="N72" i="5"/>
  <c r="M72" i="5"/>
  <c r="K72" i="5"/>
  <c r="J72" i="5"/>
  <c r="I72" i="5"/>
  <c r="H72" i="5"/>
  <c r="G72" i="5"/>
  <c r="F72" i="5"/>
  <c r="E72" i="5"/>
  <c r="D72" i="5"/>
  <c r="C72" i="5"/>
  <c r="AA71" i="5"/>
  <c r="Y71" i="5"/>
  <c r="U71" i="5"/>
  <c r="T71" i="5"/>
  <c r="S71" i="5"/>
  <c r="R71" i="5"/>
  <c r="Q71" i="5"/>
  <c r="P71" i="5"/>
  <c r="O71" i="5"/>
  <c r="N71" i="5"/>
  <c r="M71" i="5"/>
  <c r="K71" i="5"/>
  <c r="J71" i="5"/>
  <c r="I71" i="5"/>
  <c r="H71" i="5"/>
  <c r="G71" i="5"/>
  <c r="F71" i="5"/>
  <c r="E71" i="5"/>
  <c r="D71" i="5"/>
  <c r="C71" i="5"/>
  <c r="U69" i="5"/>
  <c r="T69" i="5"/>
  <c r="S69" i="5"/>
  <c r="R69" i="5"/>
  <c r="Q69" i="5"/>
  <c r="P69" i="5"/>
  <c r="K69" i="5"/>
  <c r="J69" i="5"/>
  <c r="G69" i="5"/>
  <c r="F69" i="5"/>
  <c r="E69" i="5"/>
  <c r="D69" i="5"/>
  <c r="C69" i="5"/>
  <c r="O65" i="5"/>
  <c r="O82" i="5" s="1"/>
  <c r="H65" i="5"/>
  <c r="H64" i="5"/>
  <c r="O62" i="5"/>
  <c r="O79" i="5" s="1"/>
  <c r="N62" i="5"/>
  <c r="N63" i="5" s="1"/>
  <c r="N80" i="5" s="1"/>
  <c r="O61" i="5"/>
  <c r="M61" i="5"/>
  <c r="M64" i="5" s="1"/>
  <c r="H61" i="5"/>
  <c r="H78" i="5" s="1"/>
  <c r="N60" i="5"/>
  <c r="N61" i="5" s="1"/>
  <c r="N78" i="5" s="1"/>
  <c r="M60" i="5"/>
  <c r="M63" i="5" s="1"/>
  <c r="I60" i="5"/>
  <c r="I77" i="5" s="1"/>
  <c r="M59" i="5"/>
  <c r="M58" i="5"/>
  <c r="N57" i="5"/>
  <c r="N74" i="5" s="1"/>
  <c r="M57" i="5"/>
  <c r="N56" i="5"/>
  <c r="N73" i="5" s="1"/>
  <c r="H56" i="5"/>
  <c r="H59" i="5" s="1"/>
  <c r="U52" i="5"/>
  <c r="T52" i="5"/>
  <c r="R52" i="5"/>
  <c r="Q52" i="5"/>
  <c r="P52" i="5"/>
  <c r="O52" i="5"/>
  <c r="N52" i="5"/>
  <c r="K52" i="5"/>
  <c r="J52" i="5"/>
  <c r="I52" i="5"/>
  <c r="G52" i="5"/>
  <c r="F52" i="5"/>
  <c r="E52" i="5"/>
  <c r="D52" i="5"/>
  <c r="H48" i="5"/>
  <c r="H47" i="5"/>
  <c r="C44" i="5"/>
  <c r="C78" i="5" s="1"/>
  <c r="S43" i="5"/>
  <c r="S77" i="5" s="1"/>
  <c r="M41" i="5"/>
  <c r="M75" i="5" s="1"/>
  <c r="M40" i="5"/>
  <c r="H39" i="5"/>
  <c r="AB36" i="5"/>
  <c r="C35" i="5"/>
  <c r="B35" i="5"/>
  <c r="B51" i="5" s="1"/>
  <c r="B68" i="5" s="1"/>
  <c r="B85" i="5" s="1"/>
  <c r="C34" i="5"/>
  <c r="B34" i="5"/>
  <c r="B50" i="5" s="1"/>
  <c r="B67" i="5" s="1"/>
  <c r="B84" i="5" s="1"/>
  <c r="B33" i="5"/>
  <c r="B49" i="5" s="1"/>
  <c r="B66" i="5" s="1"/>
  <c r="B83" i="5" s="1"/>
  <c r="U32" i="5"/>
  <c r="T32" i="5"/>
  <c r="S32" i="5"/>
  <c r="K32" i="5"/>
  <c r="J32" i="5"/>
  <c r="I32" i="5"/>
  <c r="H32" i="5"/>
  <c r="G32" i="5"/>
  <c r="F32" i="5"/>
  <c r="E32" i="5"/>
  <c r="D32" i="5"/>
  <c r="C32" i="5"/>
  <c r="B32" i="5"/>
  <c r="B48" i="5" s="1"/>
  <c r="B65" i="5" s="1"/>
  <c r="B82" i="5" s="1"/>
  <c r="AA31" i="5"/>
  <c r="AC31" i="5" s="1"/>
  <c r="B31" i="5"/>
  <c r="B47" i="5" s="1"/>
  <c r="B64" i="5" s="1"/>
  <c r="B81" i="5" s="1"/>
  <c r="B30" i="5"/>
  <c r="B46" i="5" s="1"/>
  <c r="B63" i="5" s="1"/>
  <c r="B80" i="5" s="1"/>
  <c r="B29" i="5"/>
  <c r="B45" i="5" s="1"/>
  <c r="B62" i="5" s="1"/>
  <c r="B79" i="5" s="1"/>
  <c r="C28" i="5"/>
  <c r="B28" i="5"/>
  <c r="B44" i="5" s="1"/>
  <c r="B61" i="5" s="1"/>
  <c r="B78" i="5" s="1"/>
  <c r="B27" i="5"/>
  <c r="B43" i="5" s="1"/>
  <c r="B60" i="5" s="1"/>
  <c r="B77" i="5" s="1"/>
  <c r="U26" i="5"/>
  <c r="R26" i="5"/>
  <c r="Q26" i="5"/>
  <c r="K26" i="5"/>
  <c r="H26" i="5"/>
  <c r="G26" i="5"/>
  <c r="F26" i="5"/>
  <c r="C26" i="5"/>
  <c r="B26" i="5"/>
  <c r="B42" i="5" s="1"/>
  <c r="B59" i="5" s="1"/>
  <c r="B76" i="5" s="1"/>
  <c r="B25" i="5"/>
  <c r="B41" i="5" s="1"/>
  <c r="B58" i="5" s="1"/>
  <c r="B75" i="5" s="1"/>
  <c r="U24" i="5"/>
  <c r="T24" i="5"/>
  <c r="R24" i="5"/>
  <c r="Q24" i="5"/>
  <c r="P24" i="5"/>
  <c r="O24" i="5"/>
  <c r="M24" i="5"/>
  <c r="K24" i="5"/>
  <c r="J24" i="5"/>
  <c r="H24" i="5"/>
  <c r="G24" i="5"/>
  <c r="F24" i="5"/>
  <c r="E24" i="5"/>
  <c r="C24" i="5"/>
  <c r="B24" i="5"/>
  <c r="B40" i="5" s="1"/>
  <c r="B57" i="5" s="1"/>
  <c r="B74" i="5" s="1"/>
  <c r="U23" i="5"/>
  <c r="T23" i="5"/>
  <c r="S23" i="5"/>
  <c r="R23" i="5"/>
  <c r="Q23" i="5"/>
  <c r="P23" i="5"/>
  <c r="N23" i="5"/>
  <c r="M23" i="5"/>
  <c r="K23" i="5"/>
  <c r="J23" i="5"/>
  <c r="I23" i="5"/>
  <c r="H23" i="5"/>
  <c r="G23" i="5"/>
  <c r="F23" i="5"/>
  <c r="C23" i="5"/>
  <c r="B23" i="5"/>
  <c r="B39" i="5" s="1"/>
  <c r="B56" i="5" s="1"/>
  <c r="B73" i="5" s="1"/>
  <c r="U22" i="5"/>
  <c r="S22" i="5"/>
  <c r="R22" i="5"/>
  <c r="Q22" i="5"/>
  <c r="P22" i="5"/>
  <c r="O22" i="5"/>
  <c r="N22" i="5"/>
  <c r="K22" i="5"/>
  <c r="I22" i="5"/>
  <c r="H22" i="5"/>
  <c r="G22" i="5"/>
  <c r="F22" i="5"/>
  <c r="D22" i="5"/>
  <c r="C22" i="5"/>
  <c r="B22" i="5"/>
  <c r="B38" i="5" s="1"/>
  <c r="B55" i="5" s="1"/>
  <c r="B72" i="5" s="1"/>
  <c r="U21" i="5"/>
  <c r="T21" i="5"/>
  <c r="S21" i="5"/>
  <c r="R21" i="5"/>
  <c r="P21" i="5"/>
  <c r="O21" i="5"/>
  <c r="N21" i="5"/>
  <c r="M21" i="5"/>
  <c r="J21" i="5"/>
  <c r="I21" i="5"/>
  <c r="H21" i="5"/>
  <c r="G21" i="5"/>
  <c r="E21" i="5"/>
  <c r="D21" i="5"/>
  <c r="C21" i="5"/>
  <c r="B21" i="5"/>
  <c r="B37" i="5" s="1"/>
  <c r="B54" i="5" s="1"/>
  <c r="B71" i="5" s="1"/>
  <c r="X18" i="5"/>
  <c r="V17" i="5"/>
  <c r="L17" i="5"/>
  <c r="V16" i="5"/>
  <c r="L16" i="5"/>
  <c r="V15" i="5"/>
  <c r="L15" i="5"/>
  <c r="V14" i="5"/>
  <c r="L14" i="5"/>
  <c r="V13" i="5"/>
  <c r="L13" i="5"/>
  <c r="V12" i="5"/>
  <c r="W12" i="5" s="1"/>
  <c r="Y12" i="5" s="1"/>
  <c r="V11" i="5"/>
  <c r="L11" i="5"/>
  <c r="V10" i="5"/>
  <c r="L10" i="5"/>
  <c r="V9" i="5"/>
  <c r="L9" i="5"/>
  <c r="V8" i="5"/>
  <c r="L8" i="5"/>
  <c r="V7" i="5"/>
  <c r="L7" i="5"/>
  <c r="V6" i="5"/>
  <c r="L6" i="5"/>
  <c r="V5" i="5"/>
  <c r="L5" i="5"/>
  <c r="V4" i="5"/>
  <c r="V3" i="5"/>
  <c r="L3" i="5"/>
  <c r="W82" i="6" l="1"/>
  <c r="X82" i="6" s="1"/>
  <c r="AB82" i="6" s="1"/>
  <c r="V91" i="6"/>
  <c r="AB75" i="6"/>
  <c r="L91" i="6"/>
  <c r="W80" i="6"/>
  <c r="AA26" i="5"/>
  <c r="AC26" i="5" s="1"/>
  <c r="H81" i="5"/>
  <c r="V75" i="5"/>
  <c r="H82" i="5"/>
  <c r="AA35" i="5"/>
  <c r="AC35" i="5" s="1"/>
  <c r="Y36" i="5"/>
  <c r="AA23" i="5"/>
  <c r="AC23" i="5" s="1"/>
  <c r="L77" i="5"/>
  <c r="H73" i="5"/>
  <c r="L73" i="5" s="1"/>
  <c r="L27" i="5"/>
  <c r="AA30" i="5"/>
  <c r="AC30" i="5" s="1"/>
  <c r="H42" i="5"/>
  <c r="H76" i="5" s="1"/>
  <c r="N79" i="5"/>
  <c r="V79" i="5" s="1"/>
  <c r="AA22" i="5"/>
  <c r="AC22" i="5" s="1"/>
  <c r="N65" i="5"/>
  <c r="N82" i="5" s="1"/>
  <c r="T86" i="5"/>
  <c r="Z36" i="5"/>
  <c r="AA25" i="5"/>
  <c r="AC25" i="5" s="1"/>
  <c r="AA27" i="5"/>
  <c r="AC27" i="5" s="1"/>
  <c r="AA33" i="5"/>
  <c r="AC33" i="5" s="1"/>
  <c r="C45" i="5"/>
  <c r="C79" i="5" s="1"/>
  <c r="L71" i="5"/>
  <c r="Q86" i="5"/>
  <c r="U86" i="5"/>
  <c r="D86" i="5"/>
  <c r="V73" i="5"/>
  <c r="L75" i="5"/>
  <c r="W75" i="5" s="1"/>
  <c r="X75" i="5" s="1"/>
  <c r="AB75" i="5" s="1"/>
  <c r="L83" i="5"/>
  <c r="L85" i="5"/>
  <c r="P86" i="5"/>
  <c r="AA24" i="5"/>
  <c r="AC24" i="5" s="1"/>
  <c r="AA32" i="5"/>
  <c r="AC32" i="5" s="1"/>
  <c r="AA34" i="5"/>
  <c r="AC34" i="5" s="1"/>
  <c r="S52" i="5"/>
  <c r="I69" i="5"/>
  <c r="F86" i="5"/>
  <c r="L74" i="5"/>
  <c r="L80" i="5"/>
  <c r="L84" i="5"/>
  <c r="W11" i="5"/>
  <c r="AA11" i="5" s="1"/>
  <c r="V33" i="5"/>
  <c r="V22" i="5"/>
  <c r="W8" i="5"/>
  <c r="Y8" i="5" s="1"/>
  <c r="W3" i="5"/>
  <c r="Y3" i="5" s="1"/>
  <c r="W7" i="5"/>
  <c r="AA7" i="5" s="1"/>
  <c r="W4" i="5"/>
  <c r="AA4" i="5" s="1"/>
  <c r="W6" i="5"/>
  <c r="AA6" i="5" s="1"/>
  <c r="W9" i="5"/>
  <c r="W14" i="5"/>
  <c r="V29" i="5"/>
  <c r="V31" i="5"/>
  <c r="V32" i="5"/>
  <c r="V35" i="5"/>
  <c r="V28" i="5"/>
  <c r="W5" i="5"/>
  <c r="W10" i="5"/>
  <c r="Y10" i="5" s="1"/>
  <c r="W13" i="5"/>
  <c r="AA13" i="5" s="1"/>
  <c r="W15" i="5"/>
  <c r="AA15" i="5" s="1"/>
  <c r="W17" i="5"/>
  <c r="Y17" i="5" s="1"/>
  <c r="V23" i="5"/>
  <c r="V26" i="5"/>
  <c r="V34" i="5"/>
  <c r="AA5" i="5"/>
  <c r="L23" i="5"/>
  <c r="L24" i="5"/>
  <c r="L31" i="5"/>
  <c r="L32" i="5"/>
  <c r="L21" i="5"/>
  <c r="L28" i="5"/>
  <c r="L22" i="5"/>
  <c r="L35" i="5"/>
  <c r="O78" i="5"/>
  <c r="V24" i="5"/>
  <c r="L26" i="5"/>
  <c r="L34" i="5"/>
  <c r="E86" i="5"/>
  <c r="I86" i="5"/>
  <c r="R86" i="5"/>
  <c r="V71" i="5"/>
  <c r="L72" i="5"/>
  <c r="Z86" i="5"/>
  <c r="L81" i="5"/>
  <c r="V85" i="5"/>
  <c r="W85" i="5" s="1"/>
  <c r="X85" i="5" s="1"/>
  <c r="AB85" i="5" s="1"/>
  <c r="AA12" i="5"/>
  <c r="V21" i="5"/>
  <c r="V27" i="5"/>
  <c r="W27" i="5" s="1"/>
  <c r="AA28" i="5"/>
  <c r="AC28" i="5" s="1"/>
  <c r="AA29" i="5"/>
  <c r="AC29" i="5" s="1"/>
  <c r="M74" i="5"/>
  <c r="V74" i="5" s="1"/>
  <c r="M42" i="5"/>
  <c r="H62" i="5"/>
  <c r="H69" i="5" s="1"/>
  <c r="N64" i="5"/>
  <c r="N81" i="5" s="1"/>
  <c r="J86" i="5"/>
  <c r="S86" i="5"/>
  <c r="Y86" i="5"/>
  <c r="V84" i="5"/>
  <c r="W16" i="5"/>
  <c r="AC21" i="5"/>
  <c r="AE21" i="5" s="1"/>
  <c r="X36" i="5"/>
  <c r="V30" i="5"/>
  <c r="L78" i="5"/>
  <c r="M65" i="5"/>
  <c r="M82" i="5" s="1"/>
  <c r="V82" i="5" s="1"/>
  <c r="M80" i="5"/>
  <c r="O63" i="5"/>
  <c r="O80" i="5" s="1"/>
  <c r="C86" i="5"/>
  <c r="G86" i="5"/>
  <c r="K86" i="5"/>
  <c r="AA86" i="5"/>
  <c r="V72" i="5"/>
  <c r="L82" i="5"/>
  <c r="V83" i="5"/>
  <c r="C52" i="5"/>
  <c r="M77" i="5"/>
  <c r="N77" i="5"/>
  <c r="AB50" i="1"/>
  <c r="AA38" i="1"/>
  <c r="AC38" i="1" s="1"/>
  <c r="Z41" i="1"/>
  <c r="Z40" i="1"/>
  <c r="Z36" i="1"/>
  <c r="Z29" i="1"/>
  <c r="Z28" i="1"/>
  <c r="Z49" i="1"/>
  <c r="Z30" i="1"/>
  <c r="Z37" i="1"/>
  <c r="Z32" i="1"/>
  <c r="Z34" i="1"/>
  <c r="Z31" i="1"/>
  <c r="Z35" i="1"/>
  <c r="Z39" i="1"/>
  <c r="Y35" i="1"/>
  <c r="Y39" i="1"/>
  <c r="Y40" i="1"/>
  <c r="Y36" i="1"/>
  <c r="Y34" i="1"/>
  <c r="Y29" i="1"/>
  <c r="Y37" i="1"/>
  <c r="Y41" i="1"/>
  <c r="Y49" i="1"/>
  <c r="Y32" i="1"/>
  <c r="Y30" i="1"/>
  <c r="Y31" i="1"/>
  <c r="Y33" i="1"/>
  <c r="X41" i="1"/>
  <c r="X30" i="1"/>
  <c r="X36" i="1"/>
  <c r="X49" i="1"/>
  <c r="X32" i="1"/>
  <c r="AA32" i="1" s="1"/>
  <c r="AC32" i="1" s="1"/>
  <c r="X31" i="1"/>
  <c r="X29" i="1"/>
  <c r="X28" i="1"/>
  <c r="X40" i="1"/>
  <c r="X37" i="1"/>
  <c r="AA37" i="1" s="1"/>
  <c r="AC37" i="1" s="1"/>
  <c r="X33" i="1"/>
  <c r="X35" i="1"/>
  <c r="X39" i="1"/>
  <c r="X34" i="1"/>
  <c r="C70" i="1"/>
  <c r="C118" i="1" s="1"/>
  <c r="L118" i="1" s="1"/>
  <c r="W118" i="1" s="1"/>
  <c r="X118" i="1" s="1"/>
  <c r="C58" i="1"/>
  <c r="AA33" i="1" l="1"/>
  <c r="AC33" i="1" s="1"/>
  <c r="AA36" i="1"/>
  <c r="AC36" i="1" s="1"/>
  <c r="C59" i="1"/>
  <c r="C107" i="1" s="1"/>
  <c r="C106" i="1"/>
  <c r="AA31" i="1"/>
  <c r="AC31" i="1" s="1"/>
  <c r="AA30" i="1"/>
  <c r="AC30" i="1" s="1"/>
  <c r="AA29" i="1"/>
  <c r="AC29" i="1" s="1"/>
  <c r="AA34" i="1"/>
  <c r="AC34" i="1" s="1"/>
  <c r="AA39" i="1"/>
  <c r="AC39" i="1" s="1"/>
  <c r="Z50" i="1"/>
  <c r="AA40" i="1"/>
  <c r="AC40" i="1" s="1"/>
  <c r="AA41" i="1"/>
  <c r="AC41" i="1" s="1"/>
  <c r="AA35" i="1"/>
  <c r="AC35" i="1" s="1"/>
  <c r="X50" i="1"/>
  <c r="AA49" i="1"/>
  <c r="AC49" i="1" s="1"/>
  <c r="AA28" i="1"/>
  <c r="AC28" i="1" s="1"/>
  <c r="X80" i="6"/>
  <c r="W91" i="6"/>
  <c r="Y11" i="5"/>
  <c r="W25" i="5"/>
  <c r="W29" i="5"/>
  <c r="W28" i="5"/>
  <c r="O86" i="5"/>
  <c r="H45" i="5"/>
  <c r="W84" i="5"/>
  <c r="X84" i="5" s="1"/>
  <c r="AB84" i="5" s="1"/>
  <c r="Y9" i="5"/>
  <c r="H52" i="5"/>
  <c r="AA9" i="5"/>
  <c r="W33" i="5"/>
  <c r="W74" i="5"/>
  <c r="X74" i="5" s="1"/>
  <c r="AB74" i="5" s="1"/>
  <c r="W83" i="5"/>
  <c r="X83" i="5" s="1"/>
  <c r="AB83" i="5" s="1"/>
  <c r="AA17" i="5"/>
  <c r="W73" i="5"/>
  <c r="X73" i="5" s="1"/>
  <c r="AB73" i="5" s="1"/>
  <c r="Y5" i="5"/>
  <c r="N69" i="5"/>
  <c r="M69" i="5"/>
  <c r="W23" i="5"/>
  <c r="N86" i="5"/>
  <c r="W35" i="5"/>
  <c r="AA3" i="5"/>
  <c r="Z3" i="5"/>
  <c r="Y15" i="5"/>
  <c r="W22" i="5"/>
  <c r="Y4" i="5"/>
  <c r="W26" i="5"/>
  <c r="AA8" i="5"/>
  <c r="Y14" i="5"/>
  <c r="W31" i="5"/>
  <c r="Y13" i="5"/>
  <c r="W30" i="5"/>
  <c r="Y7" i="5"/>
  <c r="W24" i="5"/>
  <c r="Y6" i="5"/>
  <c r="AA10" i="5"/>
  <c r="AA14" i="5"/>
  <c r="W32" i="5"/>
  <c r="W34" i="5"/>
  <c r="W21" i="5"/>
  <c r="V77" i="5"/>
  <c r="W77" i="5" s="1"/>
  <c r="X77" i="5" s="1"/>
  <c r="AB77" i="5" s="1"/>
  <c r="L76" i="5"/>
  <c r="V80" i="5"/>
  <c r="W80" i="5" s="1"/>
  <c r="X80" i="5" s="1"/>
  <c r="AB80" i="5" s="1"/>
  <c r="W71" i="5"/>
  <c r="O69" i="5"/>
  <c r="W72" i="5"/>
  <c r="X72" i="5" s="1"/>
  <c r="AB72" i="5" s="1"/>
  <c r="W82" i="5"/>
  <c r="X82" i="5" s="1"/>
  <c r="AB82" i="5" s="1"/>
  <c r="AA36" i="5"/>
  <c r="AC36" i="5"/>
  <c r="M44" i="5"/>
  <c r="M76" i="5"/>
  <c r="AA16" i="5"/>
  <c r="Y16" i="5"/>
  <c r="H79" i="5"/>
  <c r="L79" i="5" s="1"/>
  <c r="W79" i="5" s="1"/>
  <c r="X79" i="5" s="1"/>
  <c r="AB79" i="5" s="1"/>
  <c r="Y50" i="1"/>
  <c r="C73" i="1" l="1"/>
  <c r="AC50" i="1"/>
  <c r="AA50" i="1"/>
  <c r="AB80" i="6"/>
  <c r="AB91" i="6" s="1"/>
  <c r="X91" i="6"/>
  <c r="M47" i="5"/>
  <c r="M81" i="5" s="1"/>
  <c r="V81" i="5" s="1"/>
  <c r="W81" i="5" s="1"/>
  <c r="X81" i="5" s="1"/>
  <c r="AB81" i="5" s="1"/>
  <c r="M78" i="5"/>
  <c r="V78" i="5" s="1"/>
  <c r="W78" i="5" s="1"/>
  <c r="X78" i="5" s="1"/>
  <c r="AB78" i="5" s="1"/>
  <c r="X71" i="5"/>
  <c r="V76" i="5"/>
  <c r="H86" i="5"/>
  <c r="L86" i="5"/>
  <c r="M86" i="5" l="1"/>
  <c r="M52" i="5"/>
  <c r="W76" i="5"/>
  <c r="V86" i="5"/>
  <c r="AB71" i="5"/>
  <c r="X76" i="5" l="1"/>
  <c r="W86" i="5"/>
  <c r="B28" i="1"/>
  <c r="B51" i="1" s="1"/>
  <c r="B75" i="1" s="1"/>
  <c r="B99" i="1" s="1"/>
  <c r="V24" i="1"/>
  <c r="V23" i="1"/>
  <c r="V17" i="1"/>
  <c r="V16" i="1"/>
  <c r="L24" i="1"/>
  <c r="L23" i="1"/>
  <c r="L17" i="1"/>
  <c r="L16" i="1"/>
  <c r="AB76" i="5" l="1"/>
  <c r="AB86" i="5" s="1"/>
  <c r="X86" i="5"/>
  <c r="W17" i="1"/>
  <c r="W23" i="1"/>
  <c r="W24" i="1"/>
  <c r="W16" i="1"/>
  <c r="AB112" i="1" l="1"/>
  <c r="Y17" i="1"/>
  <c r="Z17" i="1" s="1"/>
  <c r="X16" i="5"/>
  <c r="Z16" i="5" s="1"/>
  <c r="Y24" i="1"/>
  <c r="Z24" i="1"/>
  <c r="Y23" i="1"/>
  <c r="Z23" i="1" s="1"/>
  <c r="X17" i="5"/>
  <c r="Z17" i="5" s="1"/>
  <c r="AB113" i="1"/>
  <c r="AB114" i="1"/>
  <c r="Y16" i="1"/>
  <c r="Z16" i="1" s="1"/>
  <c r="X15" i="5"/>
  <c r="Z15" i="5" s="1"/>
  <c r="AB111" i="1"/>
  <c r="AA99" i="1"/>
  <c r="Y99" i="1"/>
  <c r="S57" i="1"/>
  <c r="O86" i="1"/>
  <c r="O110" i="1" s="1"/>
  <c r="O83" i="1"/>
  <c r="O107" i="1" s="1"/>
  <c r="O82" i="1"/>
  <c r="N83" i="1"/>
  <c r="N107" i="1" s="1"/>
  <c r="V107" i="1" s="1"/>
  <c r="N81" i="1"/>
  <c r="N105" i="1" s="1"/>
  <c r="N78" i="1"/>
  <c r="N102" i="1" s="1"/>
  <c r="N77" i="1"/>
  <c r="M99" i="1"/>
  <c r="M82" i="1"/>
  <c r="M85" i="1" s="1"/>
  <c r="M81" i="1"/>
  <c r="M80" i="1"/>
  <c r="M79" i="1"/>
  <c r="M78" i="1"/>
  <c r="M55" i="1"/>
  <c r="M54" i="1"/>
  <c r="H62" i="1"/>
  <c r="H110" i="1" s="1"/>
  <c r="L110" i="1" s="1"/>
  <c r="H85" i="1"/>
  <c r="H86" i="1"/>
  <c r="H77" i="1"/>
  <c r="H61" i="1"/>
  <c r="H109" i="1" s="1"/>
  <c r="L109" i="1" s="1"/>
  <c r="H53" i="1"/>
  <c r="H82" i="1"/>
  <c r="H106" i="1" s="1"/>
  <c r="L106" i="1" s="1"/>
  <c r="I81" i="1"/>
  <c r="U99" i="1"/>
  <c r="T99" i="1"/>
  <c r="S99" i="1"/>
  <c r="R99" i="1"/>
  <c r="Q99" i="1"/>
  <c r="P99" i="1"/>
  <c r="O99" i="1"/>
  <c r="N99" i="1"/>
  <c r="K99" i="1"/>
  <c r="J99" i="1"/>
  <c r="I99" i="1"/>
  <c r="H99" i="1"/>
  <c r="G99" i="1"/>
  <c r="F99" i="1"/>
  <c r="E99" i="1"/>
  <c r="D99" i="1"/>
  <c r="V15" i="1"/>
  <c r="V14" i="1"/>
  <c r="V12" i="1"/>
  <c r="V11" i="1"/>
  <c r="V10" i="1"/>
  <c r="V9" i="1"/>
  <c r="V8" i="1"/>
  <c r="V7" i="1"/>
  <c r="V6" i="1"/>
  <c r="V5" i="1"/>
  <c r="V4" i="1"/>
  <c r="V3" i="1"/>
  <c r="L15" i="1"/>
  <c r="L14" i="1"/>
  <c r="L12" i="1"/>
  <c r="L11" i="1"/>
  <c r="L10" i="1"/>
  <c r="L9" i="1"/>
  <c r="L8" i="1"/>
  <c r="L7" i="1"/>
  <c r="L6" i="1"/>
  <c r="L5" i="1"/>
  <c r="L4" i="1"/>
  <c r="L3" i="1"/>
  <c r="W8" i="1" l="1"/>
  <c r="AA8" i="1" s="1"/>
  <c r="X8" i="5" s="1"/>
  <c r="Z8" i="5" s="1"/>
  <c r="W4" i="1"/>
  <c r="Z4" i="1" s="1"/>
  <c r="I105" i="1"/>
  <c r="L105" i="1" s="1"/>
  <c r="I97" i="1"/>
  <c r="H80" i="1"/>
  <c r="H83" i="1" s="1"/>
  <c r="H97" i="1"/>
  <c r="M56" i="1"/>
  <c r="M102" i="1"/>
  <c r="V102" i="1" s="1"/>
  <c r="W102" i="1" s="1"/>
  <c r="X102" i="1" s="1"/>
  <c r="N101" i="1"/>
  <c r="V101" i="1" s="1"/>
  <c r="W101" i="1" s="1"/>
  <c r="X101" i="1" s="1"/>
  <c r="O97" i="1"/>
  <c r="O106" i="1"/>
  <c r="M103" i="1"/>
  <c r="V103" i="1" s="1"/>
  <c r="W103" i="1" s="1"/>
  <c r="X103" i="1" s="1"/>
  <c r="M84" i="1"/>
  <c r="M108" i="1" s="1"/>
  <c r="M105" i="1"/>
  <c r="S73" i="1"/>
  <c r="S105" i="1"/>
  <c r="H56" i="1"/>
  <c r="H101" i="1"/>
  <c r="L101" i="1" s="1"/>
  <c r="V105" i="1"/>
  <c r="W105" i="1" s="1"/>
  <c r="X105" i="1" s="1"/>
  <c r="AB16" i="6"/>
  <c r="AC16" i="6"/>
  <c r="AB15" i="5"/>
  <c r="AB4" i="6"/>
  <c r="AB18" i="6"/>
  <c r="AB17" i="5"/>
  <c r="AB17" i="6"/>
  <c r="AC17" i="6"/>
  <c r="AB16" i="5"/>
  <c r="O84" i="1"/>
  <c r="O108" i="1" s="1"/>
  <c r="N84" i="1"/>
  <c r="N108" i="1" s="1"/>
  <c r="L99" i="1"/>
  <c r="W99" i="1" s="1"/>
  <c r="X99" i="1" s="1"/>
  <c r="AB99" i="1" s="1"/>
  <c r="M86" i="1"/>
  <c r="M110" i="1" s="1"/>
  <c r="V99" i="1"/>
  <c r="N82" i="1"/>
  <c r="N106" i="1" s="1"/>
  <c r="W9" i="1"/>
  <c r="AA9" i="1" s="1"/>
  <c r="W5" i="1"/>
  <c r="Z5" i="1" s="1"/>
  <c r="W3" i="1"/>
  <c r="W7" i="1"/>
  <c r="Z7" i="1" s="1"/>
  <c r="W12" i="1"/>
  <c r="Z12" i="1" s="1"/>
  <c r="W15" i="1"/>
  <c r="Z15" i="1" s="1"/>
  <c r="W11" i="1"/>
  <c r="AA11" i="1" s="1"/>
  <c r="X11" i="5" s="1"/>
  <c r="Z11" i="5" s="1"/>
  <c r="W10" i="1"/>
  <c r="AA10" i="1" s="1"/>
  <c r="X10" i="5" s="1"/>
  <c r="Z10" i="5" s="1"/>
  <c r="W6" i="1"/>
  <c r="Z6" i="1" s="1"/>
  <c r="W14" i="1"/>
  <c r="Y14" i="1" s="1"/>
  <c r="V28" i="1"/>
  <c r="Y4" i="1"/>
  <c r="AA4" i="1"/>
  <c r="X4" i="5" s="1"/>
  <c r="Z4" i="5" s="1"/>
  <c r="AC4" i="6" s="1"/>
  <c r="Z8" i="1" l="1"/>
  <c r="AC8" i="6" s="1"/>
  <c r="Y8" i="1"/>
  <c r="Y3" i="1"/>
  <c r="AA3" i="1"/>
  <c r="X3" i="5" s="1"/>
  <c r="H59" i="1"/>
  <c r="H107" i="1" s="1"/>
  <c r="L107" i="1" s="1"/>
  <c r="W107" i="1" s="1"/>
  <c r="X107" i="1" s="1"/>
  <c r="H104" i="1"/>
  <c r="L104" i="1" s="1"/>
  <c r="M97" i="1"/>
  <c r="V108" i="1"/>
  <c r="W108" i="1" s="1"/>
  <c r="X108" i="1" s="1"/>
  <c r="AB108" i="1" s="1"/>
  <c r="M58" i="1"/>
  <c r="M104" i="1"/>
  <c r="V104" i="1" s="1"/>
  <c r="W104" i="1" s="1"/>
  <c r="X104" i="1" s="1"/>
  <c r="H73" i="1"/>
  <c r="Y15" i="1"/>
  <c r="Z10" i="1"/>
  <c r="AC10" i="6" s="1"/>
  <c r="X9" i="6"/>
  <c r="Z9" i="6" s="1"/>
  <c r="X9" i="5"/>
  <c r="Z9" i="5" s="1"/>
  <c r="AB4" i="5"/>
  <c r="X14" i="5"/>
  <c r="Z14" i="5" s="1"/>
  <c r="AB14" i="5" s="1"/>
  <c r="AB7" i="6"/>
  <c r="AB15" i="6"/>
  <c r="AB6" i="6"/>
  <c r="AB8" i="6"/>
  <c r="AB8" i="5"/>
  <c r="AB13" i="6"/>
  <c r="AB5" i="6"/>
  <c r="AB103" i="1"/>
  <c r="AB105" i="1"/>
  <c r="AB107" i="1"/>
  <c r="AB101" i="1"/>
  <c r="Y10" i="1"/>
  <c r="AA5" i="1"/>
  <c r="X5" i="5" s="1"/>
  <c r="Z5" i="5" s="1"/>
  <c r="AC5" i="6" s="1"/>
  <c r="AB104" i="1"/>
  <c r="N86" i="1"/>
  <c r="N110" i="1" s="1"/>
  <c r="V110" i="1" s="1"/>
  <c r="W110" i="1" s="1"/>
  <c r="X110" i="1" s="1"/>
  <c r="AB100" i="1"/>
  <c r="AB102" i="1"/>
  <c r="Z9" i="1"/>
  <c r="N85" i="1"/>
  <c r="N109" i="1" s="1"/>
  <c r="Z3" i="1"/>
  <c r="Y9" i="1"/>
  <c r="AA6" i="1"/>
  <c r="X6" i="5" s="1"/>
  <c r="Z6" i="5" s="1"/>
  <c r="AB6" i="5" s="1"/>
  <c r="AA7" i="1"/>
  <c r="X7" i="5" s="1"/>
  <c r="Z7" i="5" s="1"/>
  <c r="AC7" i="6" s="1"/>
  <c r="AA12" i="1"/>
  <c r="X12" i="5" s="1"/>
  <c r="Z12" i="5" s="1"/>
  <c r="AB12" i="5" s="1"/>
  <c r="Y5" i="1"/>
  <c r="W28" i="1"/>
  <c r="Y7" i="1"/>
  <c r="Y12" i="1"/>
  <c r="Z11" i="1"/>
  <c r="Y11" i="1"/>
  <c r="Y6" i="1"/>
  <c r="X13" i="5"/>
  <c r="Z13" i="5" s="1"/>
  <c r="Z14" i="1"/>
  <c r="AB10" i="5" l="1"/>
  <c r="M61" i="1"/>
  <c r="M106" i="1"/>
  <c r="V106" i="1" s="1"/>
  <c r="W106" i="1" s="1"/>
  <c r="X106" i="1" s="1"/>
  <c r="N97" i="1"/>
  <c r="AB10" i="6"/>
  <c r="AB7" i="5"/>
  <c r="AC6" i="6"/>
  <c r="AC15" i="6"/>
  <c r="AB5" i="5"/>
  <c r="AC13" i="6"/>
  <c r="AC14" i="6"/>
  <c r="AB14" i="6"/>
  <c r="AB13" i="5"/>
  <c r="AB12" i="6"/>
  <c r="AC12" i="6"/>
  <c r="AB11" i="5"/>
  <c r="AB9" i="6"/>
  <c r="AC9" i="6"/>
  <c r="AB9" i="5"/>
  <c r="AB3" i="6"/>
  <c r="AC3" i="6"/>
  <c r="AB3" i="5"/>
  <c r="AB110" i="1"/>
  <c r="M109" i="1" l="1"/>
  <c r="V109" i="1" s="1"/>
  <c r="W109" i="1" s="1"/>
  <c r="X109" i="1" s="1"/>
  <c r="AB109" i="1" s="1"/>
  <c r="M73" i="1"/>
  <c r="AB106" i="1"/>
  <c r="AB115" i="1" l="1"/>
</calcChain>
</file>

<file path=xl/sharedStrings.xml><?xml version="1.0" encoding="utf-8"?>
<sst xmlns="http://schemas.openxmlformats.org/spreadsheetml/2006/main" count="248" uniqueCount="46">
  <si>
    <t>Name</t>
  </si>
  <si>
    <t>Total</t>
  </si>
  <si>
    <t>Dave Kizer</t>
  </si>
  <si>
    <t>Joe McCardel</t>
  </si>
  <si>
    <t>Dave Brauer</t>
  </si>
  <si>
    <t>John Sullivan</t>
  </si>
  <si>
    <t>Ralph</t>
  </si>
  <si>
    <t>Leo</t>
  </si>
  <si>
    <t>Matt Lawrence</t>
  </si>
  <si>
    <t>Jerry Flynn</t>
  </si>
  <si>
    <t>Mike Flynn</t>
  </si>
  <si>
    <t>Bernie Sullivan</t>
  </si>
  <si>
    <t>Kevin Fitzgerald</t>
  </si>
  <si>
    <t>HDCP</t>
  </si>
  <si>
    <t>Day 2</t>
  </si>
  <si>
    <t>Day 1</t>
  </si>
  <si>
    <t>Net</t>
  </si>
  <si>
    <t>Front</t>
  </si>
  <si>
    <t>Back</t>
  </si>
  <si>
    <t>Wins</t>
  </si>
  <si>
    <t>Lose</t>
  </si>
  <si>
    <t>Day 3</t>
  </si>
  <si>
    <t>Richard McGovern</t>
  </si>
  <si>
    <t>Richie Payne</t>
  </si>
  <si>
    <t>Ed Cox</t>
  </si>
  <si>
    <t>each 9 holes per person</t>
  </si>
  <si>
    <t>Net of HDCP</t>
  </si>
  <si>
    <t>each total 18 holes per person</t>
  </si>
  <si>
    <t>Jack Sullivan</t>
  </si>
  <si>
    <t>Chris Flynn</t>
  </si>
  <si>
    <t>Matt Brauer</t>
  </si>
  <si>
    <t>Colin Sullivan</t>
  </si>
  <si>
    <t>Mike Fitzgerald</t>
  </si>
  <si>
    <t>Blake Dougan</t>
  </si>
  <si>
    <t>TJ Williams</t>
  </si>
  <si>
    <t>Brian McGovern</t>
  </si>
  <si>
    <t>Sean Flynn</t>
  </si>
  <si>
    <t>Dave Keyser</t>
  </si>
  <si>
    <t>Mike Dougan</t>
  </si>
  <si>
    <t>total</t>
  </si>
  <si>
    <t>Owed</t>
  </si>
  <si>
    <t>Given</t>
  </si>
  <si>
    <t>Losses</t>
  </si>
  <si>
    <t>Multipler</t>
  </si>
  <si>
    <t>2 DAY</t>
  </si>
  <si>
    <t>3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</si>
</sst>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0" fillId="3" borderId="0" xfId="0" applyFill="1"/>
    <xf numFmtId="0" fontId="0" fillId="4" borderId="0" xfId="0" applyFill="1"/>
    <xf numFmtId="164" fontId="0" fillId="2" borderId="0" xfId="1" applyNumberFormat="1" applyFont="1" applyFill="1"/>
    <xf numFmtId="165" fontId="0" fillId="2" borderId="0" xfId="1" applyNumberFormat="1" applyFont="1" applyFill="1"/>
    <xf numFmtId="165" fontId="0" fillId="0" borderId="0" xfId="0" applyNumberFormat="1"/>
    <xf numFmtId="165" fontId="0" fillId="4" borderId="0" xfId="1" applyNumberFormat="1" applyFont="1" applyFill="1"/>
    <xf numFmtId="165" fontId="0" fillId="3" borderId="0" xfId="1" applyNumberFormat="1" applyFont="1" applyFill="1"/>
    <xf numFmtId="165" fontId="0" fillId="3" borderId="0" xfId="0" applyNumberFormat="1" applyFill="1"/>
    <xf numFmtId="165" fontId="0" fillId="0" borderId="0" xfId="1" applyNumberFormat="1" applyFont="1" applyFill="1"/>
    <xf numFmtId="44" fontId="0" fillId="0" borderId="0" xfId="2" applyFont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4" fontId="0" fillId="0" borderId="0" xfId="1" applyNumberFormat="1" applyFont="1" applyFill="1"/>
    <xf numFmtId="165" fontId="0" fillId="5" borderId="0" xfId="1" applyNumberFormat="1" applyFont="1" applyFill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Fill="1"/>
    <xf numFmtId="165" fontId="0" fillId="2" borderId="0" xfId="0" applyNumberFormat="1" applyFill="1"/>
    <xf numFmtId="165" fontId="0" fillId="5" borderId="0" xfId="0" applyNumberFormat="1" applyFill="1"/>
    <xf numFmtId="43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0" xfId="0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mes O'Hair" refreshedDate="44449.852845833331" createdVersion="5" refreshedVersion="5" minRefreshableVersion="3" recordCount="23">
  <cacheSource type="worksheet">
    <worksheetSource ref="C1:F24" sheet="Sheet1"/>
  </cacheSource>
  <cacheFields count="4">
    <cacheField name="Name" numFmtId="0">
      <sharedItems containsBlank="1" count="23">
        <s v="Bernie Sullivan"/>
        <s v="Ralph"/>
        <s v="Mike Flynn"/>
        <s v="Mike Fitzgerald"/>
        <s v="Kevin Fitzgerald"/>
        <s v="Joe McCardel"/>
        <s v="Dave Brauer"/>
        <s v="Richard McGovern"/>
        <s v="Colin Sullivan"/>
        <s v="John Sullivan"/>
        <s v="Matt Lawrence"/>
        <s v="Jerry Flynn"/>
        <s v="Chris Flynn"/>
        <s v="Brian McGovern"/>
        <s v="Matt Brauer"/>
        <s v="Jack Sullivan"/>
        <s v="Sean Flynn"/>
        <s v="Dave Keyser"/>
        <s v="Leo"/>
        <s v="Mike Dougan"/>
        <s v="Blake Dougan"/>
        <s v="TJ Williams"/>
        <m/>
      </sharedItems>
    </cacheField>
    <cacheField name="Front" numFmtId="0">
      <sharedItems containsString="0" containsBlank="1" containsNumber="1" containsInteger="1" minValue="26" maxValue="53" count="15">
        <n v="26"/>
        <n v="27"/>
        <n v="31"/>
        <n v="33"/>
        <n v="34"/>
        <n v="35"/>
        <n v="36"/>
        <n v="37"/>
        <n v="38"/>
        <n v="39"/>
        <n v="41"/>
        <n v="47"/>
        <n v="51"/>
        <n v="53"/>
        <m/>
      </sharedItems>
    </cacheField>
    <cacheField name="Back" numFmtId="0">
      <sharedItems containsString="0" containsBlank="1" containsNumber="1" containsInteger="1" minValue="31" maxValue="51"/>
    </cacheField>
    <cacheField name="total" numFmtId="0">
      <sharedItems containsSemiMixedTypes="0" containsString="0" containsNumber="1" containsInteger="1" minValue="1" maxValue="102" count="16">
        <n v="63"/>
        <n v="58"/>
        <n v="65"/>
        <n v="68"/>
        <n v="74"/>
        <n v="75"/>
        <n v="70"/>
        <n v="77"/>
        <n v="73"/>
        <n v="71"/>
        <n v="78"/>
        <n v="80"/>
        <n v="97"/>
        <n v="102"/>
        <n v="99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x v="0"/>
    <n v="37"/>
    <x v="0"/>
  </r>
  <r>
    <x v="1"/>
    <x v="1"/>
    <n v="31"/>
    <x v="1"/>
  </r>
  <r>
    <x v="2"/>
    <x v="2"/>
    <n v="34"/>
    <x v="2"/>
  </r>
  <r>
    <x v="3"/>
    <x v="2"/>
    <n v="37"/>
    <x v="3"/>
  </r>
  <r>
    <x v="4"/>
    <x v="3"/>
    <n v="41"/>
    <x v="4"/>
  </r>
  <r>
    <x v="5"/>
    <x v="4"/>
    <n v="41"/>
    <x v="5"/>
  </r>
  <r>
    <x v="6"/>
    <x v="4"/>
    <n v="34"/>
    <x v="3"/>
  </r>
  <r>
    <x v="7"/>
    <x v="5"/>
    <n v="35"/>
    <x v="6"/>
  </r>
  <r>
    <x v="8"/>
    <x v="6"/>
    <n v="32"/>
    <x v="3"/>
  </r>
  <r>
    <x v="9"/>
    <x v="6"/>
    <n v="41"/>
    <x v="7"/>
  </r>
  <r>
    <x v="10"/>
    <x v="6"/>
    <n v="41"/>
    <x v="7"/>
  </r>
  <r>
    <x v="11"/>
    <x v="6"/>
    <n v="37"/>
    <x v="8"/>
  </r>
  <r>
    <x v="12"/>
    <x v="6"/>
    <n v="35"/>
    <x v="9"/>
  </r>
  <r>
    <x v="13"/>
    <x v="7"/>
    <n v="37"/>
    <x v="4"/>
  </r>
  <r>
    <x v="14"/>
    <x v="8"/>
    <n v="39"/>
    <x v="7"/>
  </r>
  <r>
    <x v="15"/>
    <x v="8"/>
    <n v="40"/>
    <x v="10"/>
  </r>
  <r>
    <x v="16"/>
    <x v="9"/>
    <n v="41"/>
    <x v="11"/>
  </r>
  <r>
    <x v="17"/>
    <x v="9"/>
    <n v="39"/>
    <x v="10"/>
  </r>
  <r>
    <x v="18"/>
    <x v="10"/>
    <n v="37"/>
    <x v="10"/>
  </r>
  <r>
    <x v="19"/>
    <x v="11"/>
    <n v="50"/>
    <x v="12"/>
  </r>
  <r>
    <x v="20"/>
    <x v="12"/>
    <n v="51"/>
    <x v="13"/>
  </r>
  <r>
    <x v="21"/>
    <x v="13"/>
    <n v="46"/>
    <x v="14"/>
  </r>
  <r>
    <x v="22"/>
    <x v="14"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1" firstDataRow="1" firstDataCol="0"/>
  <pivotFields count="4">
    <pivotField showAll="0">
      <items count="24">
        <item x="0"/>
        <item x="20"/>
        <item x="13"/>
        <item x="12"/>
        <item x="8"/>
        <item x="6"/>
        <item x="17"/>
        <item x="15"/>
        <item x="11"/>
        <item x="5"/>
        <item x="9"/>
        <item x="4"/>
        <item x="18"/>
        <item x="14"/>
        <item x="10"/>
        <item x="19"/>
        <item x="3"/>
        <item x="2"/>
        <item x="1"/>
        <item x="7"/>
        <item x="16"/>
        <item x="21"/>
        <item x="22"/>
        <item t="default"/>
      </items>
    </pivotField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showAll="0">
      <items count="17">
        <item x="15"/>
        <item x="1"/>
        <item x="0"/>
        <item x="2"/>
        <item x="3"/>
        <item x="6"/>
        <item x="9"/>
        <item x="8"/>
        <item x="4"/>
        <item x="5"/>
        <item x="7"/>
        <item x="10"/>
        <item x="11"/>
        <item x="12"/>
        <item x="14"/>
        <item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3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Z24" sqref="Z24"/>
    </sheetView>
  </sheetViews>
  <sheetFormatPr defaultRowHeight="14.4" x14ac:dyDescent="0.3"/>
  <cols>
    <col min="2" max="2" width="18.6640625" customWidth="1"/>
    <col min="3" max="3" width="6.109375" customWidth="1"/>
    <col min="4" max="4" width="7.109375" customWidth="1"/>
    <col min="5" max="5" width="6.109375" customWidth="1"/>
    <col min="6" max="6" width="5.88671875" customWidth="1"/>
    <col min="7" max="7" width="6" customWidth="1"/>
    <col min="8" max="8" width="6.33203125" customWidth="1"/>
    <col min="9" max="9" width="5.77734375" customWidth="1"/>
    <col min="10" max="10" width="5.109375" customWidth="1"/>
    <col min="11" max="11" width="5.88671875" customWidth="1"/>
    <col min="12" max="12" width="6.6640625" customWidth="1"/>
    <col min="13" max="13" width="6.33203125" customWidth="1"/>
    <col min="14" max="14" width="5.88671875" customWidth="1"/>
    <col min="15" max="15" width="6.6640625" customWidth="1"/>
    <col min="16" max="16" width="7.33203125" customWidth="1"/>
    <col min="17" max="17" width="5.33203125" customWidth="1"/>
    <col min="18" max="18" width="6.33203125" customWidth="1"/>
    <col min="19" max="19" width="6.109375" customWidth="1"/>
    <col min="20" max="20" width="6" customWidth="1"/>
    <col min="21" max="22" width="6.6640625" customWidth="1"/>
  </cols>
  <sheetData>
    <row r="1" spans="1:27" x14ac:dyDescent="0.3">
      <c r="X1" t="s">
        <v>15</v>
      </c>
      <c r="Z1" t="s">
        <v>15</v>
      </c>
      <c r="AA1" t="s">
        <v>14</v>
      </c>
    </row>
    <row r="2" spans="1:27" x14ac:dyDescent="0.3">
      <c r="B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16" t="s">
        <v>17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17" t="s">
        <v>18</v>
      </c>
      <c r="W2" s="6" t="s">
        <v>1</v>
      </c>
      <c r="X2" t="s">
        <v>13</v>
      </c>
      <c r="Z2" t="s">
        <v>16</v>
      </c>
      <c r="AA2" t="s">
        <v>13</v>
      </c>
    </row>
    <row r="3" spans="1:27" x14ac:dyDescent="0.3">
      <c r="A3">
        <v>1</v>
      </c>
      <c r="B3" t="s">
        <v>31</v>
      </c>
      <c r="C3" s="5">
        <v>6</v>
      </c>
      <c r="D3" s="5">
        <v>5</v>
      </c>
      <c r="E3" s="5">
        <v>6</v>
      </c>
      <c r="F3" s="5">
        <v>9</v>
      </c>
      <c r="G3" s="5">
        <v>5</v>
      </c>
      <c r="H3" s="5">
        <v>6</v>
      </c>
      <c r="I3" s="5">
        <v>6</v>
      </c>
      <c r="J3" s="5">
        <v>5</v>
      </c>
      <c r="K3" s="5">
        <v>6</v>
      </c>
      <c r="L3" s="12">
        <f t="shared" ref="L3:L24" si="0">SUM(C3:K3)</f>
        <v>54</v>
      </c>
      <c r="M3" s="5">
        <v>6</v>
      </c>
      <c r="N3" s="5">
        <v>7</v>
      </c>
      <c r="O3" s="5">
        <v>6</v>
      </c>
      <c r="P3" s="5">
        <v>6</v>
      </c>
      <c r="Q3" s="5">
        <v>5</v>
      </c>
      <c r="R3" s="5">
        <v>4</v>
      </c>
      <c r="S3" s="5">
        <v>6</v>
      </c>
      <c r="T3" s="5">
        <v>5</v>
      </c>
      <c r="U3" s="5">
        <v>5</v>
      </c>
      <c r="V3" s="12">
        <f t="shared" ref="V3:V15" si="1">SUM(M3:U3)</f>
        <v>50</v>
      </c>
      <c r="W3" s="12">
        <f t="shared" ref="W3:W15" si="2">+L3+V3</f>
        <v>104</v>
      </c>
      <c r="X3" s="5">
        <v>36</v>
      </c>
      <c r="Y3" s="5">
        <f>(+W3-70)*0.87</f>
        <v>29.58</v>
      </c>
      <c r="Z3" s="14">
        <f>+W3-X3</f>
        <v>68</v>
      </c>
      <c r="AA3" s="5">
        <f>(W3-70)*0.875</f>
        <v>29.75</v>
      </c>
    </row>
    <row r="4" spans="1:27" x14ac:dyDescent="0.3">
      <c r="A4">
        <f>+A3+1</f>
        <v>2</v>
      </c>
      <c r="B4" t="s">
        <v>11</v>
      </c>
      <c r="C4" s="5">
        <v>4</v>
      </c>
      <c r="D4" s="5">
        <v>5</v>
      </c>
      <c r="E4" s="5">
        <v>4</v>
      </c>
      <c r="F4" s="5">
        <v>5</v>
      </c>
      <c r="G4" s="5">
        <v>3</v>
      </c>
      <c r="H4" s="5">
        <v>4</v>
      </c>
      <c r="I4" s="5">
        <v>4</v>
      </c>
      <c r="J4" s="5">
        <v>5</v>
      </c>
      <c r="K4" s="5">
        <v>4</v>
      </c>
      <c r="L4" s="12">
        <f t="shared" si="0"/>
        <v>38</v>
      </c>
      <c r="M4" s="5">
        <v>6</v>
      </c>
      <c r="N4" s="5">
        <v>5</v>
      </c>
      <c r="O4" s="5">
        <v>5</v>
      </c>
      <c r="P4" s="5">
        <v>7</v>
      </c>
      <c r="Q4" s="5">
        <v>5</v>
      </c>
      <c r="R4" s="5">
        <v>5</v>
      </c>
      <c r="S4" s="5">
        <v>4</v>
      </c>
      <c r="T4" s="5">
        <v>7</v>
      </c>
      <c r="U4" s="5">
        <v>4</v>
      </c>
      <c r="V4" s="12">
        <f t="shared" si="1"/>
        <v>48</v>
      </c>
      <c r="W4" s="12">
        <f t="shared" si="2"/>
        <v>86</v>
      </c>
      <c r="X4" s="5">
        <v>22.75</v>
      </c>
      <c r="Y4" s="5">
        <f t="shared" ref="Y4:Y24" si="3">(+W4-70)*0.875</f>
        <v>14</v>
      </c>
      <c r="Z4" s="14">
        <f t="shared" ref="Z4:Z15" si="4">+W4-X4</f>
        <v>63.25</v>
      </c>
      <c r="AA4" s="5">
        <f t="shared" ref="AA4:AA24" si="5">(W4-70)*0.875</f>
        <v>14</v>
      </c>
    </row>
    <row r="5" spans="1:27" x14ac:dyDescent="0.3">
      <c r="A5">
        <f t="shared" ref="A5:A24" si="6">+A4+1</f>
        <v>3</v>
      </c>
      <c r="B5" t="s">
        <v>3</v>
      </c>
      <c r="C5" s="5">
        <v>6</v>
      </c>
      <c r="D5" s="5">
        <v>6</v>
      </c>
      <c r="E5" s="5">
        <v>6</v>
      </c>
      <c r="F5" s="5">
        <v>7</v>
      </c>
      <c r="G5" s="5">
        <v>5</v>
      </c>
      <c r="H5" s="5">
        <v>4</v>
      </c>
      <c r="I5" s="5">
        <v>5</v>
      </c>
      <c r="J5" s="5">
        <v>6</v>
      </c>
      <c r="K5" s="5">
        <v>4</v>
      </c>
      <c r="L5" s="12">
        <f t="shared" si="0"/>
        <v>49</v>
      </c>
      <c r="M5" s="5">
        <v>6</v>
      </c>
      <c r="N5" s="5">
        <v>5</v>
      </c>
      <c r="O5" s="5">
        <v>8</v>
      </c>
      <c r="P5" s="5">
        <v>8</v>
      </c>
      <c r="Q5" s="5">
        <v>4</v>
      </c>
      <c r="R5" s="5">
        <v>3</v>
      </c>
      <c r="S5" s="5">
        <v>9</v>
      </c>
      <c r="T5" s="5">
        <v>9</v>
      </c>
      <c r="U5" s="5">
        <v>4</v>
      </c>
      <c r="V5" s="12">
        <f t="shared" si="1"/>
        <v>56</v>
      </c>
      <c r="W5" s="12">
        <f t="shared" si="2"/>
        <v>105</v>
      </c>
      <c r="X5" s="5">
        <v>29.75</v>
      </c>
      <c r="Y5" s="5">
        <f t="shared" si="3"/>
        <v>30.625</v>
      </c>
      <c r="Z5" s="14">
        <f t="shared" si="4"/>
        <v>75.25</v>
      </c>
      <c r="AA5" s="5">
        <f t="shared" si="5"/>
        <v>30.625</v>
      </c>
    </row>
    <row r="6" spans="1:27" x14ac:dyDescent="0.3">
      <c r="A6">
        <f t="shared" si="6"/>
        <v>4</v>
      </c>
      <c r="B6" t="s">
        <v>4</v>
      </c>
      <c r="C6" s="5">
        <v>5</v>
      </c>
      <c r="D6" s="5">
        <v>5</v>
      </c>
      <c r="E6" s="5">
        <v>5</v>
      </c>
      <c r="F6" s="5">
        <v>5</v>
      </c>
      <c r="G6" s="5">
        <v>4</v>
      </c>
      <c r="H6" s="5">
        <v>4</v>
      </c>
      <c r="I6" s="5">
        <v>6</v>
      </c>
      <c r="J6" s="5">
        <v>5</v>
      </c>
      <c r="K6" s="5">
        <v>5</v>
      </c>
      <c r="L6" s="12">
        <f t="shared" si="0"/>
        <v>44</v>
      </c>
      <c r="M6" s="5">
        <v>5</v>
      </c>
      <c r="N6" s="5">
        <v>5</v>
      </c>
      <c r="O6" s="5">
        <v>4</v>
      </c>
      <c r="P6" s="5">
        <v>7</v>
      </c>
      <c r="Q6" s="5">
        <v>4</v>
      </c>
      <c r="R6" s="5">
        <v>4</v>
      </c>
      <c r="S6" s="5">
        <v>5</v>
      </c>
      <c r="T6" s="5">
        <v>5</v>
      </c>
      <c r="U6" s="5">
        <v>5</v>
      </c>
      <c r="V6" s="12">
        <f t="shared" si="1"/>
        <v>44</v>
      </c>
      <c r="W6" s="12">
        <f t="shared" si="2"/>
        <v>88</v>
      </c>
      <c r="X6" s="5">
        <v>20.125</v>
      </c>
      <c r="Y6" s="5">
        <f t="shared" si="3"/>
        <v>15.75</v>
      </c>
      <c r="Z6" s="14">
        <f t="shared" si="4"/>
        <v>67.875</v>
      </c>
      <c r="AA6" s="5">
        <f t="shared" si="5"/>
        <v>15.75</v>
      </c>
    </row>
    <row r="7" spans="1:27" x14ac:dyDescent="0.3">
      <c r="A7">
        <f t="shared" si="6"/>
        <v>5</v>
      </c>
      <c r="B7" t="s">
        <v>5</v>
      </c>
      <c r="C7" s="5">
        <v>6</v>
      </c>
      <c r="D7" s="5">
        <v>5</v>
      </c>
      <c r="E7" s="5">
        <v>5</v>
      </c>
      <c r="F7" s="5">
        <v>5</v>
      </c>
      <c r="G7" s="5">
        <v>4</v>
      </c>
      <c r="H7" s="5">
        <v>4</v>
      </c>
      <c r="I7" s="5">
        <v>6</v>
      </c>
      <c r="J7" s="5">
        <v>5</v>
      </c>
      <c r="K7" s="5">
        <v>5</v>
      </c>
      <c r="L7" s="12">
        <f t="shared" si="0"/>
        <v>45</v>
      </c>
      <c r="M7" s="5">
        <v>6</v>
      </c>
      <c r="N7" s="5">
        <v>5</v>
      </c>
      <c r="O7" s="5">
        <v>7</v>
      </c>
      <c r="P7" s="5">
        <v>7</v>
      </c>
      <c r="Q7" s="5">
        <v>3</v>
      </c>
      <c r="R7" s="5">
        <v>4</v>
      </c>
      <c r="S7" s="5">
        <v>6</v>
      </c>
      <c r="T7" s="5">
        <v>6</v>
      </c>
      <c r="U7" s="5">
        <v>6</v>
      </c>
      <c r="V7" s="12">
        <f t="shared" si="1"/>
        <v>50</v>
      </c>
      <c r="W7" s="12">
        <f t="shared" si="2"/>
        <v>95</v>
      </c>
      <c r="X7" s="5">
        <v>18.375</v>
      </c>
      <c r="Y7" s="5">
        <f t="shared" si="3"/>
        <v>21.875</v>
      </c>
      <c r="Z7" s="14">
        <f t="shared" si="4"/>
        <v>76.625</v>
      </c>
      <c r="AA7" s="5">
        <f t="shared" si="5"/>
        <v>21.875</v>
      </c>
    </row>
    <row r="8" spans="1:27" x14ac:dyDescent="0.3">
      <c r="A8">
        <f t="shared" si="6"/>
        <v>6</v>
      </c>
      <c r="B8" t="s">
        <v>6</v>
      </c>
      <c r="C8" s="5">
        <v>4</v>
      </c>
      <c r="D8" s="5">
        <v>4</v>
      </c>
      <c r="E8" s="5">
        <v>4</v>
      </c>
      <c r="F8" s="5">
        <v>5</v>
      </c>
      <c r="G8" s="5">
        <v>4</v>
      </c>
      <c r="H8" s="5">
        <v>4</v>
      </c>
      <c r="I8" s="5">
        <v>5</v>
      </c>
      <c r="J8" s="5">
        <v>5</v>
      </c>
      <c r="K8" s="5">
        <v>5</v>
      </c>
      <c r="L8" s="12">
        <f t="shared" si="0"/>
        <v>40</v>
      </c>
      <c r="M8" s="5">
        <v>4</v>
      </c>
      <c r="N8" s="5">
        <v>5</v>
      </c>
      <c r="O8" s="5">
        <v>5</v>
      </c>
      <c r="P8" s="5">
        <v>6</v>
      </c>
      <c r="Q8" s="5">
        <v>4</v>
      </c>
      <c r="R8" s="5">
        <v>3</v>
      </c>
      <c r="S8" s="5">
        <v>6</v>
      </c>
      <c r="T8" s="5">
        <v>5</v>
      </c>
      <c r="U8" s="5">
        <v>5</v>
      </c>
      <c r="V8" s="12">
        <f t="shared" si="1"/>
        <v>43</v>
      </c>
      <c r="W8" s="12">
        <f t="shared" si="2"/>
        <v>83</v>
      </c>
      <c r="X8" s="5">
        <v>24.5</v>
      </c>
      <c r="Y8" s="5">
        <f t="shared" si="3"/>
        <v>11.375</v>
      </c>
      <c r="Z8" s="19">
        <f t="shared" si="4"/>
        <v>58.5</v>
      </c>
      <c r="AA8" s="5">
        <f t="shared" si="5"/>
        <v>11.375</v>
      </c>
    </row>
    <row r="9" spans="1:27" x14ac:dyDescent="0.3">
      <c r="A9">
        <f t="shared" si="6"/>
        <v>7</v>
      </c>
      <c r="B9" t="s">
        <v>7</v>
      </c>
      <c r="C9" s="5">
        <v>11</v>
      </c>
      <c r="D9" s="5">
        <v>7</v>
      </c>
      <c r="E9" s="5">
        <v>9</v>
      </c>
      <c r="F9" s="5">
        <v>9</v>
      </c>
      <c r="G9" s="5">
        <v>4</v>
      </c>
      <c r="H9" s="5">
        <v>5</v>
      </c>
      <c r="I9" s="5">
        <v>10</v>
      </c>
      <c r="J9" s="5">
        <v>9</v>
      </c>
      <c r="K9" s="5">
        <v>6</v>
      </c>
      <c r="L9" s="12">
        <f t="shared" si="0"/>
        <v>70</v>
      </c>
      <c r="M9" s="5">
        <v>7</v>
      </c>
      <c r="N9" s="5">
        <v>7</v>
      </c>
      <c r="O9" s="5">
        <v>8</v>
      </c>
      <c r="P9" s="5">
        <v>9</v>
      </c>
      <c r="Q9" s="5">
        <v>4</v>
      </c>
      <c r="R9" s="5">
        <v>7</v>
      </c>
      <c r="S9" s="5">
        <v>8</v>
      </c>
      <c r="T9" s="5">
        <v>7</v>
      </c>
      <c r="U9" s="5">
        <v>8</v>
      </c>
      <c r="V9" s="12">
        <f t="shared" si="1"/>
        <v>65</v>
      </c>
      <c r="W9" s="12">
        <f t="shared" si="2"/>
        <v>135</v>
      </c>
      <c r="X9" s="5">
        <v>56.875</v>
      </c>
      <c r="Y9" s="5">
        <f t="shared" si="3"/>
        <v>56.875</v>
      </c>
      <c r="Z9" s="14">
        <f t="shared" si="4"/>
        <v>78.125</v>
      </c>
      <c r="AA9" s="5">
        <f t="shared" si="5"/>
        <v>56.875</v>
      </c>
    </row>
    <row r="10" spans="1:27" x14ac:dyDescent="0.3">
      <c r="A10">
        <f t="shared" si="6"/>
        <v>8</v>
      </c>
      <c r="B10" t="s">
        <v>8</v>
      </c>
      <c r="C10" s="5">
        <v>5</v>
      </c>
      <c r="D10" s="5">
        <v>4</v>
      </c>
      <c r="E10" s="5">
        <v>5</v>
      </c>
      <c r="F10" s="5">
        <v>8</v>
      </c>
      <c r="G10" s="5">
        <v>3</v>
      </c>
      <c r="H10" s="5">
        <v>4</v>
      </c>
      <c r="I10" s="5">
        <v>4</v>
      </c>
      <c r="J10" s="5">
        <v>5</v>
      </c>
      <c r="K10" s="5">
        <v>5</v>
      </c>
      <c r="L10" s="12">
        <f t="shared" si="0"/>
        <v>43</v>
      </c>
      <c r="M10" s="5">
        <v>5</v>
      </c>
      <c r="N10" s="5">
        <v>6</v>
      </c>
      <c r="O10" s="5">
        <v>5</v>
      </c>
      <c r="P10" s="5">
        <v>6</v>
      </c>
      <c r="Q10" s="5">
        <v>4</v>
      </c>
      <c r="R10" s="5">
        <v>4</v>
      </c>
      <c r="S10" s="5">
        <v>5</v>
      </c>
      <c r="T10" s="5">
        <v>8</v>
      </c>
      <c r="U10" s="5">
        <v>5</v>
      </c>
      <c r="V10" s="12">
        <f t="shared" si="1"/>
        <v>48</v>
      </c>
      <c r="W10" s="12">
        <f t="shared" si="2"/>
        <v>91</v>
      </c>
      <c r="X10" s="5">
        <v>14.875</v>
      </c>
      <c r="Y10" s="5">
        <f t="shared" si="3"/>
        <v>18.375</v>
      </c>
      <c r="Z10" s="11">
        <f t="shared" si="4"/>
        <v>76.125</v>
      </c>
      <c r="AA10" s="5">
        <f t="shared" si="5"/>
        <v>18.375</v>
      </c>
    </row>
    <row r="11" spans="1:27" x14ac:dyDescent="0.3">
      <c r="A11">
        <f t="shared" si="6"/>
        <v>9</v>
      </c>
      <c r="B11" t="s">
        <v>9</v>
      </c>
      <c r="C11" s="5">
        <v>5</v>
      </c>
      <c r="D11" s="5">
        <v>5</v>
      </c>
      <c r="E11" s="5">
        <v>4</v>
      </c>
      <c r="F11" s="5">
        <v>6</v>
      </c>
      <c r="G11" s="5">
        <v>4</v>
      </c>
      <c r="H11" s="5">
        <v>4</v>
      </c>
      <c r="I11" s="5">
        <v>6</v>
      </c>
      <c r="J11" s="5">
        <v>5</v>
      </c>
      <c r="K11" s="5">
        <v>5</v>
      </c>
      <c r="L11" s="12">
        <f t="shared" si="0"/>
        <v>44</v>
      </c>
      <c r="M11" s="5">
        <v>5</v>
      </c>
      <c r="N11" s="5">
        <v>7</v>
      </c>
      <c r="O11" s="5">
        <v>5</v>
      </c>
      <c r="P11" s="5">
        <v>6</v>
      </c>
      <c r="Q11" s="5">
        <v>3</v>
      </c>
      <c r="R11" s="5">
        <v>3</v>
      </c>
      <c r="S11" s="5">
        <v>6</v>
      </c>
      <c r="T11" s="5">
        <v>6</v>
      </c>
      <c r="U11" s="5">
        <v>4</v>
      </c>
      <c r="V11" s="12">
        <f t="shared" si="1"/>
        <v>45</v>
      </c>
      <c r="W11" s="12">
        <f t="shared" si="2"/>
        <v>89</v>
      </c>
      <c r="X11" s="5">
        <v>15.75</v>
      </c>
      <c r="Y11" s="5">
        <f t="shared" si="3"/>
        <v>16.625</v>
      </c>
      <c r="Z11" s="14">
        <f t="shared" si="4"/>
        <v>73.25</v>
      </c>
      <c r="AA11" s="5">
        <f t="shared" si="5"/>
        <v>16.625</v>
      </c>
    </row>
    <row r="12" spans="1:27" x14ac:dyDescent="0.3">
      <c r="A12">
        <f t="shared" si="6"/>
        <v>10</v>
      </c>
      <c r="B12" t="s">
        <v>10</v>
      </c>
      <c r="C12" s="5">
        <v>5</v>
      </c>
      <c r="D12" s="5">
        <v>4</v>
      </c>
      <c r="E12" s="5">
        <v>4</v>
      </c>
      <c r="F12" s="5">
        <v>5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12">
        <f t="shared" si="0"/>
        <v>38</v>
      </c>
      <c r="M12" s="5">
        <v>5</v>
      </c>
      <c r="N12" s="5">
        <v>5</v>
      </c>
      <c r="O12" s="5">
        <v>6</v>
      </c>
      <c r="P12" s="5">
        <v>5</v>
      </c>
      <c r="Q12" s="5">
        <v>3</v>
      </c>
      <c r="R12" s="5">
        <v>3</v>
      </c>
      <c r="S12" s="5">
        <v>5</v>
      </c>
      <c r="T12" s="5">
        <v>5</v>
      </c>
      <c r="U12" s="5">
        <v>3</v>
      </c>
      <c r="V12" s="12">
        <f t="shared" si="1"/>
        <v>40</v>
      </c>
      <c r="W12" s="12">
        <f t="shared" si="2"/>
        <v>78</v>
      </c>
      <c r="X12" s="5">
        <v>13.125</v>
      </c>
      <c r="Y12" s="5">
        <f t="shared" si="3"/>
        <v>7</v>
      </c>
      <c r="Z12" s="14">
        <f t="shared" si="4"/>
        <v>64.875</v>
      </c>
      <c r="AA12" s="5">
        <f t="shared" si="5"/>
        <v>7</v>
      </c>
    </row>
    <row r="13" spans="1:27" x14ac:dyDescent="0.3">
      <c r="A13">
        <f t="shared" si="6"/>
        <v>11</v>
      </c>
      <c r="B13" t="s">
        <v>36</v>
      </c>
      <c r="C13" s="5">
        <v>5</v>
      </c>
      <c r="D13" s="5">
        <v>4</v>
      </c>
      <c r="E13" s="5">
        <v>3</v>
      </c>
      <c r="F13" s="5">
        <v>7</v>
      </c>
      <c r="G13" s="5">
        <v>4</v>
      </c>
      <c r="H13" s="5">
        <v>3</v>
      </c>
      <c r="I13" s="5">
        <v>7</v>
      </c>
      <c r="J13" s="5">
        <v>5</v>
      </c>
      <c r="K13" s="5">
        <v>4</v>
      </c>
      <c r="L13" s="12">
        <f t="shared" si="0"/>
        <v>42</v>
      </c>
      <c r="M13" s="5">
        <v>4</v>
      </c>
      <c r="N13" s="5">
        <v>3</v>
      </c>
      <c r="O13" s="5">
        <v>6</v>
      </c>
      <c r="P13" s="5">
        <v>6</v>
      </c>
      <c r="Q13" s="5">
        <v>5</v>
      </c>
      <c r="R13" s="5">
        <v>4</v>
      </c>
      <c r="S13" s="5">
        <v>6</v>
      </c>
      <c r="T13" s="5">
        <v>5</v>
      </c>
      <c r="U13" s="5">
        <v>4</v>
      </c>
      <c r="V13" s="12">
        <f>SUM(M13:U13)</f>
        <v>43</v>
      </c>
      <c r="W13" s="12">
        <f>+L13+V13</f>
        <v>85</v>
      </c>
      <c r="X13" s="5">
        <v>5</v>
      </c>
      <c r="Y13" s="5"/>
      <c r="Z13" s="14">
        <f t="shared" si="4"/>
        <v>80</v>
      </c>
      <c r="AA13" s="5">
        <f t="shared" si="5"/>
        <v>13.125</v>
      </c>
    </row>
    <row r="14" spans="1:27" x14ac:dyDescent="0.3">
      <c r="A14">
        <f t="shared" si="6"/>
        <v>12</v>
      </c>
      <c r="B14" t="s">
        <v>12</v>
      </c>
      <c r="C14" s="5">
        <v>6</v>
      </c>
      <c r="D14" s="5">
        <v>6</v>
      </c>
      <c r="E14" s="5">
        <v>5</v>
      </c>
      <c r="F14" s="5">
        <v>7</v>
      </c>
      <c r="G14" s="5">
        <v>3</v>
      </c>
      <c r="H14" s="5">
        <v>4</v>
      </c>
      <c r="I14" s="5">
        <v>5</v>
      </c>
      <c r="J14" s="5">
        <v>5</v>
      </c>
      <c r="K14" s="5">
        <v>5</v>
      </c>
      <c r="L14" s="12">
        <f t="shared" si="0"/>
        <v>46</v>
      </c>
      <c r="M14" s="5">
        <v>6</v>
      </c>
      <c r="N14" s="5">
        <v>6</v>
      </c>
      <c r="O14" s="5">
        <v>5</v>
      </c>
      <c r="P14" s="5">
        <v>6</v>
      </c>
      <c r="Q14" s="5">
        <v>3</v>
      </c>
      <c r="R14" s="5">
        <v>8</v>
      </c>
      <c r="S14" s="5">
        <v>5</v>
      </c>
      <c r="T14" s="5">
        <v>6</v>
      </c>
      <c r="U14" s="5">
        <v>8</v>
      </c>
      <c r="V14" s="12">
        <f t="shared" si="1"/>
        <v>53</v>
      </c>
      <c r="W14" s="12">
        <f t="shared" si="2"/>
        <v>99</v>
      </c>
      <c r="X14" s="5">
        <v>25.375</v>
      </c>
      <c r="Y14" s="5">
        <f t="shared" si="3"/>
        <v>25.375</v>
      </c>
      <c r="Z14" s="14">
        <f t="shared" si="4"/>
        <v>73.625</v>
      </c>
      <c r="AA14" s="5">
        <f t="shared" si="5"/>
        <v>25.375</v>
      </c>
    </row>
    <row r="15" spans="1:27" x14ac:dyDescent="0.3">
      <c r="A15">
        <f t="shared" si="6"/>
        <v>13</v>
      </c>
      <c r="B15" t="s">
        <v>22</v>
      </c>
      <c r="C15" s="5">
        <v>5</v>
      </c>
      <c r="D15" s="5">
        <v>5</v>
      </c>
      <c r="E15" s="5">
        <v>6</v>
      </c>
      <c r="F15" s="5">
        <v>6</v>
      </c>
      <c r="G15" s="5">
        <v>5</v>
      </c>
      <c r="H15" s="5">
        <v>4</v>
      </c>
      <c r="I15" s="5">
        <v>6</v>
      </c>
      <c r="J15" s="5">
        <v>7</v>
      </c>
      <c r="K15" s="5">
        <v>5</v>
      </c>
      <c r="L15" s="12">
        <f t="shared" si="0"/>
        <v>49</v>
      </c>
      <c r="M15" s="5">
        <v>7</v>
      </c>
      <c r="N15" s="5">
        <v>5</v>
      </c>
      <c r="O15" s="5">
        <v>7</v>
      </c>
      <c r="P15" s="5">
        <v>7</v>
      </c>
      <c r="Q15" s="5">
        <v>3</v>
      </c>
      <c r="R15" s="5">
        <v>4</v>
      </c>
      <c r="S15" s="5">
        <v>6</v>
      </c>
      <c r="T15" s="5">
        <v>5</v>
      </c>
      <c r="U15" s="5">
        <v>5</v>
      </c>
      <c r="V15" s="12">
        <f t="shared" si="1"/>
        <v>49</v>
      </c>
      <c r="W15" s="12">
        <f t="shared" si="2"/>
        <v>98</v>
      </c>
      <c r="X15" s="10">
        <v>28</v>
      </c>
      <c r="Y15" s="5">
        <f t="shared" si="3"/>
        <v>24.5</v>
      </c>
      <c r="Z15" s="9">
        <f t="shared" si="4"/>
        <v>70</v>
      </c>
      <c r="AA15" s="5">
        <f t="shared" si="5"/>
        <v>24.5</v>
      </c>
    </row>
    <row r="16" spans="1:27" x14ac:dyDescent="0.3">
      <c r="A16">
        <f t="shared" si="6"/>
        <v>14</v>
      </c>
      <c r="B16" t="s">
        <v>32</v>
      </c>
      <c r="C16" s="5">
        <v>4</v>
      </c>
      <c r="D16" s="5">
        <v>5</v>
      </c>
      <c r="E16" s="5">
        <v>4</v>
      </c>
      <c r="F16" s="5">
        <v>5</v>
      </c>
      <c r="G16" s="5">
        <v>3</v>
      </c>
      <c r="H16" s="5">
        <v>2</v>
      </c>
      <c r="I16" s="5">
        <v>5</v>
      </c>
      <c r="J16" s="5">
        <v>6</v>
      </c>
      <c r="K16" s="5">
        <v>5</v>
      </c>
      <c r="L16" s="12">
        <f t="shared" si="0"/>
        <v>39</v>
      </c>
      <c r="M16" s="5">
        <v>9</v>
      </c>
      <c r="N16" s="5">
        <v>4</v>
      </c>
      <c r="O16" s="5">
        <v>5</v>
      </c>
      <c r="P16" s="5">
        <v>6</v>
      </c>
      <c r="Q16" s="5">
        <v>4</v>
      </c>
      <c r="R16" s="5">
        <v>3</v>
      </c>
      <c r="S16" s="5">
        <v>4</v>
      </c>
      <c r="T16" s="5">
        <v>5</v>
      </c>
      <c r="U16" s="5">
        <v>4</v>
      </c>
      <c r="V16" s="12">
        <f t="shared" ref="V16:V24" si="7">SUM(M16:U16)</f>
        <v>44</v>
      </c>
      <c r="W16" s="12">
        <f t="shared" ref="W16:W24" si="8">+L16+V16</f>
        <v>83</v>
      </c>
      <c r="X16" s="10">
        <v>14</v>
      </c>
      <c r="Y16" s="5">
        <f t="shared" si="3"/>
        <v>11.375</v>
      </c>
      <c r="Z16" s="14">
        <f t="shared" ref="Z16:Z24" si="9">+W16-X16</f>
        <v>69</v>
      </c>
      <c r="AA16" s="5">
        <f t="shared" si="5"/>
        <v>11.375</v>
      </c>
    </row>
    <row r="17" spans="1:29" x14ac:dyDescent="0.3">
      <c r="A17">
        <f t="shared" si="6"/>
        <v>15</v>
      </c>
      <c r="B17" t="s">
        <v>30</v>
      </c>
      <c r="C17" s="5">
        <v>4</v>
      </c>
      <c r="D17" s="5">
        <v>5</v>
      </c>
      <c r="E17" s="5">
        <v>4</v>
      </c>
      <c r="F17" s="5">
        <v>5</v>
      </c>
      <c r="G17" s="5">
        <v>3</v>
      </c>
      <c r="H17" s="5">
        <v>4</v>
      </c>
      <c r="I17" s="5">
        <v>4</v>
      </c>
      <c r="J17" s="5">
        <v>4</v>
      </c>
      <c r="K17" s="5">
        <v>5</v>
      </c>
      <c r="L17" s="12">
        <f t="shared" si="0"/>
        <v>38</v>
      </c>
      <c r="M17" s="5">
        <v>4</v>
      </c>
      <c r="N17" s="5">
        <v>6</v>
      </c>
      <c r="O17" s="5">
        <v>4</v>
      </c>
      <c r="P17" s="5">
        <v>5</v>
      </c>
      <c r="Q17" s="5">
        <v>4</v>
      </c>
      <c r="R17" s="5">
        <v>3</v>
      </c>
      <c r="S17" s="5">
        <v>5</v>
      </c>
      <c r="T17" s="5">
        <v>4</v>
      </c>
      <c r="U17" s="5">
        <v>4</v>
      </c>
      <c r="V17" s="12">
        <f t="shared" si="7"/>
        <v>39</v>
      </c>
      <c r="W17" s="12">
        <f t="shared" si="8"/>
        <v>77</v>
      </c>
      <c r="X17" s="5">
        <v>0</v>
      </c>
      <c r="Y17" s="5">
        <f t="shared" si="3"/>
        <v>6.125</v>
      </c>
      <c r="Z17" s="14">
        <f t="shared" si="9"/>
        <v>77</v>
      </c>
      <c r="AA17" s="5">
        <f t="shared" si="5"/>
        <v>6.125</v>
      </c>
    </row>
    <row r="18" spans="1:29" x14ac:dyDescent="0.3">
      <c r="A18">
        <f t="shared" si="6"/>
        <v>16</v>
      </c>
      <c r="B18" t="s">
        <v>33</v>
      </c>
      <c r="C18" s="5">
        <v>5</v>
      </c>
      <c r="D18" s="5">
        <v>5</v>
      </c>
      <c r="E18" s="5">
        <v>5</v>
      </c>
      <c r="F18" s="5">
        <v>6</v>
      </c>
      <c r="G18" s="5">
        <v>6</v>
      </c>
      <c r="H18" s="5">
        <v>6</v>
      </c>
      <c r="I18" s="5">
        <v>6</v>
      </c>
      <c r="J18" s="5">
        <v>6</v>
      </c>
      <c r="K18" s="5">
        <v>6</v>
      </c>
      <c r="L18" s="12">
        <f t="shared" si="0"/>
        <v>51</v>
      </c>
      <c r="M18" s="5">
        <v>7</v>
      </c>
      <c r="N18" s="5">
        <v>6</v>
      </c>
      <c r="O18" s="5">
        <v>6</v>
      </c>
      <c r="P18" s="5">
        <v>7</v>
      </c>
      <c r="Q18" s="5">
        <v>3</v>
      </c>
      <c r="R18" s="5">
        <v>5</v>
      </c>
      <c r="S18" s="5">
        <v>5</v>
      </c>
      <c r="T18" s="5">
        <v>5</v>
      </c>
      <c r="U18" s="5">
        <v>7</v>
      </c>
      <c r="V18" s="12">
        <f>SUM(M18:U18)</f>
        <v>51</v>
      </c>
      <c r="W18" s="12">
        <f>+L18+V18</f>
        <v>102</v>
      </c>
      <c r="X18" s="5">
        <v>0</v>
      </c>
      <c r="Y18" s="5"/>
      <c r="Z18" s="14">
        <f t="shared" si="9"/>
        <v>102</v>
      </c>
      <c r="AA18" s="5">
        <f t="shared" si="5"/>
        <v>28</v>
      </c>
    </row>
    <row r="19" spans="1:29" x14ac:dyDescent="0.3">
      <c r="A19">
        <f t="shared" si="6"/>
        <v>17</v>
      </c>
      <c r="B19" t="s">
        <v>38</v>
      </c>
      <c r="C19" s="5">
        <v>7</v>
      </c>
      <c r="D19" s="5">
        <v>3</v>
      </c>
      <c r="E19" s="5">
        <v>6</v>
      </c>
      <c r="F19" s="5">
        <v>6</v>
      </c>
      <c r="G19" s="5">
        <v>4</v>
      </c>
      <c r="H19" s="5">
        <v>4</v>
      </c>
      <c r="I19" s="5">
        <v>6</v>
      </c>
      <c r="J19" s="5">
        <v>5</v>
      </c>
      <c r="K19" s="5">
        <v>6</v>
      </c>
      <c r="L19" s="12">
        <f t="shared" si="0"/>
        <v>47</v>
      </c>
      <c r="M19" s="5">
        <v>6</v>
      </c>
      <c r="N19" s="5">
        <v>6</v>
      </c>
      <c r="O19" s="5">
        <v>5</v>
      </c>
      <c r="P19" s="5">
        <v>6</v>
      </c>
      <c r="Q19" s="5">
        <v>4</v>
      </c>
      <c r="R19" s="5">
        <v>4</v>
      </c>
      <c r="S19" s="5">
        <v>5</v>
      </c>
      <c r="T19" s="5">
        <v>6</v>
      </c>
      <c r="U19" s="5">
        <v>8</v>
      </c>
      <c r="V19" s="12">
        <f>SUM(M19:U19)</f>
        <v>50</v>
      </c>
      <c r="W19" s="12">
        <f>+L19+V19</f>
        <v>97</v>
      </c>
      <c r="X19" s="5">
        <v>0</v>
      </c>
      <c r="Y19" s="5"/>
      <c r="Z19" s="14">
        <f t="shared" si="9"/>
        <v>97</v>
      </c>
      <c r="AA19" s="5">
        <f t="shared" si="5"/>
        <v>23.625</v>
      </c>
    </row>
    <row r="20" spans="1:29" x14ac:dyDescent="0.3">
      <c r="A20">
        <f t="shared" si="6"/>
        <v>18</v>
      </c>
      <c r="B20" t="s">
        <v>34</v>
      </c>
      <c r="C20" s="5">
        <v>4</v>
      </c>
      <c r="D20" s="5">
        <v>7</v>
      </c>
      <c r="E20" s="5">
        <v>6</v>
      </c>
      <c r="F20" s="5">
        <v>10</v>
      </c>
      <c r="G20" s="5">
        <v>4</v>
      </c>
      <c r="H20" s="5">
        <v>7</v>
      </c>
      <c r="I20" s="5">
        <v>5</v>
      </c>
      <c r="J20" s="5">
        <v>4</v>
      </c>
      <c r="K20" s="5">
        <v>6</v>
      </c>
      <c r="L20" s="12">
        <f t="shared" si="0"/>
        <v>53</v>
      </c>
      <c r="M20" s="5">
        <v>6</v>
      </c>
      <c r="N20" s="5">
        <v>5</v>
      </c>
      <c r="O20" s="5">
        <v>6</v>
      </c>
      <c r="P20" s="5">
        <v>6</v>
      </c>
      <c r="Q20" s="5">
        <v>3</v>
      </c>
      <c r="R20" s="5">
        <v>6</v>
      </c>
      <c r="S20" s="5">
        <v>5</v>
      </c>
      <c r="T20" s="5">
        <v>4</v>
      </c>
      <c r="U20" s="5">
        <v>5</v>
      </c>
      <c r="V20" s="12">
        <f>SUM(M20:U20)</f>
        <v>46</v>
      </c>
      <c r="W20" s="12">
        <f>+L20+V20</f>
        <v>99</v>
      </c>
      <c r="X20" s="5">
        <v>0</v>
      </c>
      <c r="Y20" s="5"/>
      <c r="Z20" s="14">
        <f t="shared" si="9"/>
        <v>99</v>
      </c>
      <c r="AA20" s="5">
        <f t="shared" si="5"/>
        <v>25.375</v>
      </c>
    </row>
    <row r="21" spans="1:29" x14ac:dyDescent="0.3">
      <c r="A21">
        <f t="shared" si="6"/>
        <v>19</v>
      </c>
      <c r="B21" t="s">
        <v>35</v>
      </c>
      <c r="C21" s="5">
        <v>5</v>
      </c>
      <c r="D21" s="5">
        <v>5</v>
      </c>
      <c r="E21" s="5">
        <v>5</v>
      </c>
      <c r="F21" s="5">
        <v>5</v>
      </c>
      <c r="G21" s="5">
        <v>3</v>
      </c>
      <c r="H21" s="5">
        <v>4</v>
      </c>
      <c r="I21" s="5">
        <v>6</v>
      </c>
      <c r="J21" s="5">
        <v>6</v>
      </c>
      <c r="K21" s="5">
        <v>5</v>
      </c>
      <c r="L21" s="12">
        <f t="shared" si="0"/>
        <v>44</v>
      </c>
      <c r="M21" s="5">
        <v>5</v>
      </c>
      <c r="N21" s="5">
        <v>4</v>
      </c>
      <c r="O21" s="5">
        <v>4</v>
      </c>
      <c r="P21" s="5">
        <v>7</v>
      </c>
      <c r="Q21" s="5">
        <v>4</v>
      </c>
      <c r="R21" s="5">
        <v>5</v>
      </c>
      <c r="S21" s="5">
        <v>5</v>
      </c>
      <c r="T21" s="5">
        <v>5</v>
      </c>
      <c r="U21" s="5">
        <v>5</v>
      </c>
      <c r="V21" s="12">
        <f>SUM(M21:U21)</f>
        <v>44</v>
      </c>
      <c r="W21" s="12">
        <f>+L21+V21</f>
        <v>88</v>
      </c>
      <c r="X21" s="5">
        <v>15</v>
      </c>
      <c r="Y21" s="5"/>
      <c r="Z21" s="14">
        <f t="shared" si="9"/>
        <v>73</v>
      </c>
      <c r="AA21" s="5">
        <f t="shared" si="5"/>
        <v>15.75</v>
      </c>
    </row>
    <row r="22" spans="1:29" x14ac:dyDescent="0.3">
      <c r="A22">
        <f t="shared" si="6"/>
        <v>20</v>
      </c>
      <c r="B22" t="s">
        <v>37</v>
      </c>
      <c r="C22" s="5">
        <v>5</v>
      </c>
      <c r="D22" s="5">
        <v>5</v>
      </c>
      <c r="E22" s="5">
        <v>5</v>
      </c>
      <c r="F22" s="5">
        <v>9</v>
      </c>
      <c r="G22" s="5">
        <v>4</v>
      </c>
      <c r="H22" s="5">
        <v>5</v>
      </c>
      <c r="I22" s="5">
        <v>7</v>
      </c>
      <c r="J22" s="5">
        <v>6</v>
      </c>
      <c r="K22" s="5">
        <v>5</v>
      </c>
      <c r="L22" s="12">
        <f t="shared" si="0"/>
        <v>51</v>
      </c>
      <c r="M22" s="5">
        <v>6</v>
      </c>
      <c r="N22" s="5">
        <v>6</v>
      </c>
      <c r="O22" s="5">
        <v>5</v>
      </c>
      <c r="P22" s="5">
        <v>7</v>
      </c>
      <c r="Q22" s="5">
        <v>4</v>
      </c>
      <c r="R22" s="5">
        <v>4</v>
      </c>
      <c r="S22" s="5">
        <v>7</v>
      </c>
      <c r="T22" s="5">
        <v>7</v>
      </c>
      <c r="U22" s="5">
        <v>5</v>
      </c>
      <c r="V22" s="12">
        <f>SUM(M22:U22)</f>
        <v>51</v>
      </c>
      <c r="W22" s="12">
        <f>+L22+V22</f>
        <v>102</v>
      </c>
      <c r="X22" s="5">
        <v>24</v>
      </c>
      <c r="Y22" s="5">
        <f>SUM(M22:U22)</f>
        <v>51</v>
      </c>
      <c r="Z22" s="14">
        <f t="shared" si="9"/>
        <v>78</v>
      </c>
      <c r="AA22" s="5">
        <f t="shared" si="5"/>
        <v>28</v>
      </c>
    </row>
    <row r="23" spans="1:29" x14ac:dyDescent="0.3">
      <c r="A23">
        <f t="shared" si="6"/>
        <v>21</v>
      </c>
      <c r="B23" t="s">
        <v>28</v>
      </c>
      <c r="C23" s="5">
        <v>7</v>
      </c>
      <c r="D23" s="5">
        <v>4</v>
      </c>
      <c r="E23" s="5">
        <v>6</v>
      </c>
      <c r="F23" s="5">
        <v>7</v>
      </c>
      <c r="G23" s="5">
        <v>5</v>
      </c>
      <c r="H23" s="5">
        <v>4</v>
      </c>
      <c r="I23" s="5">
        <v>9</v>
      </c>
      <c r="J23" s="5">
        <v>5</v>
      </c>
      <c r="K23" s="5">
        <v>7</v>
      </c>
      <c r="L23" s="12">
        <f t="shared" si="0"/>
        <v>54</v>
      </c>
      <c r="M23" s="5">
        <v>6</v>
      </c>
      <c r="N23" s="5">
        <v>6</v>
      </c>
      <c r="O23" s="5">
        <v>7</v>
      </c>
      <c r="P23" s="5">
        <v>9</v>
      </c>
      <c r="Q23" s="5">
        <v>3</v>
      </c>
      <c r="R23" s="5">
        <v>5</v>
      </c>
      <c r="S23" s="5">
        <v>6</v>
      </c>
      <c r="T23" s="5">
        <v>8</v>
      </c>
      <c r="U23" s="5">
        <v>5</v>
      </c>
      <c r="V23" s="12">
        <f t="shared" si="7"/>
        <v>55</v>
      </c>
      <c r="W23" s="12">
        <f t="shared" si="8"/>
        <v>109</v>
      </c>
      <c r="X23">
        <v>31</v>
      </c>
      <c r="Y23" s="5">
        <f t="shared" si="3"/>
        <v>34.125</v>
      </c>
      <c r="Z23" s="14">
        <f t="shared" si="9"/>
        <v>78</v>
      </c>
      <c r="AA23" s="5">
        <f t="shared" si="5"/>
        <v>34.125</v>
      </c>
    </row>
    <row r="24" spans="1:29" x14ac:dyDescent="0.3">
      <c r="A24">
        <f t="shared" si="6"/>
        <v>22</v>
      </c>
      <c r="B24" t="s">
        <v>29</v>
      </c>
      <c r="C24" s="5">
        <v>5</v>
      </c>
      <c r="D24" s="5">
        <v>7</v>
      </c>
      <c r="E24" s="5">
        <v>5</v>
      </c>
      <c r="F24" s="5">
        <v>7</v>
      </c>
      <c r="G24" s="5">
        <v>4</v>
      </c>
      <c r="H24" s="5">
        <v>4</v>
      </c>
      <c r="I24" s="5">
        <v>5</v>
      </c>
      <c r="J24" s="5">
        <v>7</v>
      </c>
      <c r="K24" s="5">
        <v>4</v>
      </c>
      <c r="L24" s="12">
        <f t="shared" si="0"/>
        <v>48</v>
      </c>
      <c r="M24" s="5">
        <v>5</v>
      </c>
      <c r="N24" s="5">
        <v>5</v>
      </c>
      <c r="O24" s="5">
        <v>6</v>
      </c>
      <c r="P24" s="5">
        <v>8</v>
      </c>
      <c r="Q24" s="5">
        <v>3</v>
      </c>
      <c r="R24" s="5">
        <v>7</v>
      </c>
      <c r="S24" s="5">
        <v>4</v>
      </c>
      <c r="T24" s="5">
        <v>5</v>
      </c>
      <c r="U24" s="5">
        <v>4</v>
      </c>
      <c r="V24" s="12">
        <f t="shared" si="7"/>
        <v>47</v>
      </c>
      <c r="W24" s="12">
        <f t="shared" si="8"/>
        <v>95</v>
      </c>
      <c r="X24" s="5">
        <v>24</v>
      </c>
      <c r="Y24" s="5">
        <f t="shared" si="3"/>
        <v>21.875</v>
      </c>
      <c r="Z24" s="14">
        <f t="shared" si="9"/>
        <v>71</v>
      </c>
      <c r="AA24" s="5">
        <f t="shared" si="5"/>
        <v>21.875</v>
      </c>
    </row>
    <row r="25" spans="1:29" x14ac:dyDescent="0.3">
      <c r="B25" t="s">
        <v>13</v>
      </c>
      <c r="C25" s="5">
        <v>11</v>
      </c>
      <c r="D25" s="5">
        <v>17</v>
      </c>
      <c r="E25" s="5">
        <v>15</v>
      </c>
      <c r="F25" s="5">
        <v>7</v>
      </c>
      <c r="G25" s="5">
        <v>3</v>
      </c>
      <c r="H25" s="5">
        <v>9</v>
      </c>
      <c r="I25" s="5">
        <v>1</v>
      </c>
      <c r="J25" s="5">
        <v>13</v>
      </c>
      <c r="K25" s="5">
        <v>5</v>
      </c>
      <c r="L25" s="12"/>
      <c r="M25" s="5">
        <v>12</v>
      </c>
      <c r="N25" s="5">
        <v>18</v>
      </c>
      <c r="O25" s="5">
        <v>16</v>
      </c>
      <c r="P25" s="5">
        <v>8</v>
      </c>
      <c r="Q25" s="5">
        <v>4</v>
      </c>
      <c r="R25" s="5">
        <v>10</v>
      </c>
      <c r="S25" s="5">
        <v>2</v>
      </c>
      <c r="T25" s="5">
        <v>14</v>
      </c>
      <c r="U25" s="5">
        <v>6</v>
      </c>
      <c r="V25" s="12"/>
      <c r="W25" s="12"/>
    </row>
    <row r="26" spans="1:29" x14ac:dyDescent="0.3">
      <c r="L26" s="6"/>
      <c r="V26" s="6"/>
      <c r="W26" s="6"/>
    </row>
    <row r="27" spans="1:29" x14ac:dyDescent="0.3">
      <c r="B27" t="s">
        <v>26</v>
      </c>
      <c r="L27" s="6"/>
      <c r="V27" s="6"/>
      <c r="W27" s="6"/>
    </row>
    <row r="28" spans="1:29" x14ac:dyDescent="0.3">
      <c r="A28">
        <v>1</v>
      </c>
      <c r="B28" t="str">
        <f>+B3</f>
        <v>Colin Sullivan</v>
      </c>
      <c r="C28" s="14">
        <f>+C3-2</f>
        <v>4</v>
      </c>
      <c r="D28" s="14">
        <f t="shared" ref="D28:K28" si="10">+D3-2</f>
        <v>3</v>
      </c>
      <c r="E28" s="14">
        <f t="shared" si="10"/>
        <v>4</v>
      </c>
      <c r="F28" s="14">
        <f t="shared" si="10"/>
        <v>7</v>
      </c>
      <c r="G28" s="14">
        <f t="shared" si="10"/>
        <v>3</v>
      </c>
      <c r="H28" s="14">
        <f t="shared" si="10"/>
        <v>4</v>
      </c>
      <c r="I28" s="14">
        <f t="shared" si="10"/>
        <v>4</v>
      </c>
      <c r="J28" s="14">
        <f t="shared" si="10"/>
        <v>3</v>
      </c>
      <c r="K28" s="14">
        <f t="shared" si="10"/>
        <v>4</v>
      </c>
      <c r="L28" s="12">
        <f>SUM(C28:K28)</f>
        <v>36</v>
      </c>
      <c r="M28" s="14">
        <f t="shared" ref="M28:U28" si="11">+M3-2</f>
        <v>4</v>
      </c>
      <c r="N28" s="14">
        <f t="shared" si="11"/>
        <v>5</v>
      </c>
      <c r="O28" s="14">
        <f t="shared" si="11"/>
        <v>4</v>
      </c>
      <c r="P28" s="14">
        <f t="shared" si="11"/>
        <v>4</v>
      </c>
      <c r="Q28" s="14">
        <f t="shared" si="11"/>
        <v>3</v>
      </c>
      <c r="R28" s="14">
        <f t="shared" si="11"/>
        <v>2</v>
      </c>
      <c r="S28" s="14">
        <f t="shared" si="11"/>
        <v>4</v>
      </c>
      <c r="T28" s="14">
        <f t="shared" si="11"/>
        <v>3</v>
      </c>
      <c r="U28" s="14">
        <f t="shared" si="11"/>
        <v>3</v>
      </c>
      <c r="V28" s="12">
        <f>SUM(M28:U28)</f>
        <v>32</v>
      </c>
      <c r="W28" s="12">
        <f>+V28+L28</f>
        <v>68</v>
      </c>
      <c r="X28" s="4">
        <f>(0.5*6)-(0.5*6)</f>
        <v>0</v>
      </c>
      <c r="Y28" s="4">
        <f>(0.5*4)-(0.5*10)</f>
        <v>-3</v>
      </c>
      <c r="Z28" s="18">
        <f>(1*5)-(1*9)</f>
        <v>-4</v>
      </c>
      <c r="AA28" s="20">
        <f t="shared" ref="AA28:AA49" si="12">SUM(X28:Z28)</f>
        <v>-7</v>
      </c>
      <c r="AB28" s="4">
        <v>-2.6</v>
      </c>
      <c r="AC28" s="20">
        <f>SUM(AA28:AB28)</f>
        <v>-9.6</v>
      </c>
    </row>
    <row r="29" spans="1:29" x14ac:dyDescent="0.3">
      <c r="A29">
        <f>+A28+1</f>
        <v>2</v>
      </c>
      <c r="B29" t="str">
        <f t="shared" ref="B29:B49" si="13">+B4</f>
        <v>Bernie Sullivan</v>
      </c>
      <c r="C29" s="14">
        <f t="shared" ref="C29:F29" si="14">+C4-1</f>
        <v>3</v>
      </c>
      <c r="D29" s="14">
        <f t="shared" si="14"/>
        <v>4</v>
      </c>
      <c r="E29" s="14">
        <f t="shared" si="14"/>
        <v>3</v>
      </c>
      <c r="F29" s="14">
        <f t="shared" si="14"/>
        <v>4</v>
      </c>
      <c r="G29" s="14">
        <f>+G4-2</f>
        <v>1</v>
      </c>
      <c r="H29" s="14">
        <f>+H4-1</f>
        <v>3</v>
      </c>
      <c r="I29" s="14">
        <f>+I4-2</f>
        <v>2</v>
      </c>
      <c r="J29" s="14">
        <f>+J4-1</f>
        <v>4</v>
      </c>
      <c r="K29" s="14">
        <f>+K4-2</f>
        <v>2</v>
      </c>
      <c r="L29" s="12">
        <f t="shared" ref="L29:L49" si="15">SUM(C29:K29)</f>
        <v>26</v>
      </c>
      <c r="M29" s="14">
        <f t="shared" ref="M29:R29" si="16">+M4-1</f>
        <v>5</v>
      </c>
      <c r="N29" s="14">
        <f t="shared" si="16"/>
        <v>4</v>
      </c>
      <c r="O29" s="14">
        <f t="shared" si="16"/>
        <v>4</v>
      </c>
      <c r="P29" s="14">
        <f t="shared" si="16"/>
        <v>6</v>
      </c>
      <c r="Q29" s="14">
        <f>+Q4-2</f>
        <v>3</v>
      </c>
      <c r="R29" s="14">
        <f t="shared" si="16"/>
        <v>4</v>
      </c>
      <c r="S29" s="14">
        <f>+S4-2</f>
        <v>2</v>
      </c>
      <c r="T29" s="14">
        <f>+T4-1</f>
        <v>6</v>
      </c>
      <c r="U29" s="14">
        <f>+U4-1</f>
        <v>3</v>
      </c>
      <c r="V29" s="12">
        <f t="shared" ref="V29:V49" si="17">SUM(M29:U29)</f>
        <v>37</v>
      </c>
      <c r="W29" s="9">
        <f t="shared" ref="W29:W49" si="18">+V29+L29</f>
        <v>63</v>
      </c>
      <c r="X29" s="4">
        <f>(0.5*6)-(0.5*6)</f>
        <v>0</v>
      </c>
      <c r="Y29" s="4">
        <f>(0.5*4)-(0.5*10)</f>
        <v>-3</v>
      </c>
      <c r="Z29" s="18">
        <f>(1*5)-(1*9)</f>
        <v>-4</v>
      </c>
      <c r="AA29" s="20">
        <f t="shared" si="12"/>
        <v>-7</v>
      </c>
      <c r="AB29" s="4">
        <v>-4.7</v>
      </c>
      <c r="AC29" s="20">
        <f t="shared" ref="AC29:AC49" si="19">SUM(AA29:AB29)</f>
        <v>-11.7</v>
      </c>
    </row>
    <row r="30" spans="1:29" x14ac:dyDescent="0.3">
      <c r="A30">
        <f t="shared" ref="A30:A49" si="20">+A29+1</f>
        <v>3</v>
      </c>
      <c r="B30" t="str">
        <f t="shared" si="13"/>
        <v>Joe McCardel</v>
      </c>
      <c r="C30" s="14">
        <f>+C5-2</f>
        <v>4</v>
      </c>
      <c r="D30" s="14">
        <f>+D5-1</f>
        <v>5</v>
      </c>
      <c r="E30" s="14">
        <f>+E5-1</f>
        <v>5</v>
      </c>
      <c r="F30" s="14">
        <f>+F5-2</f>
        <v>5</v>
      </c>
      <c r="G30" s="14">
        <f>+G5-2</f>
        <v>3</v>
      </c>
      <c r="H30" s="14">
        <f>+H5-2</f>
        <v>2</v>
      </c>
      <c r="I30" s="14">
        <f>+I5-2</f>
        <v>3</v>
      </c>
      <c r="J30" s="14">
        <f>+J5-1</f>
        <v>5</v>
      </c>
      <c r="K30" s="14">
        <f>+K5-2</f>
        <v>2</v>
      </c>
      <c r="L30" s="12">
        <f t="shared" si="15"/>
        <v>34</v>
      </c>
      <c r="M30" s="14">
        <f>+M5-2</f>
        <v>4</v>
      </c>
      <c r="N30" s="14">
        <f>+N5-1</f>
        <v>4</v>
      </c>
      <c r="O30" s="14">
        <f>+O5-1</f>
        <v>7</v>
      </c>
      <c r="P30" s="14">
        <f>+P5-2</f>
        <v>6</v>
      </c>
      <c r="Q30" s="14">
        <f>+Q5-2</f>
        <v>2</v>
      </c>
      <c r="R30" s="14">
        <f>+R5-2</f>
        <v>1</v>
      </c>
      <c r="S30" s="14">
        <f>+S5-2</f>
        <v>7</v>
      </c>
      <c r="T30" s="14">
        <f>+T5-1</f>
        <v>8</v>
      </c>
      <c r="U30" s="14">
        <f>+U5-2</f>
        <v>2</v>
      </c>
      <c r="V30" s="12">
        <f t="shared" si="17"/>
        <v>41</v>
      </c>
      <c r="W30" s="12">
        <f t="shared" si="18"/>
        <v>75</v>
      </c>
      <c r="X30" s="4">
        <f>(0.5*2)-(0.5*12)</f>
        <v>-5</v>
      </c>
      <c r="Y30" s="4">
        <f>(0.5*13)-(0.5*1)</f>
        <v>6</v>
      </c>
      <c r="Z30" s="18">
        <f>(1*8)-(1*7)</f>
        <v>1</v>
      </c>
      <c r="AA30" s="20">
        <f t="shared" si="12"/>
        <v>2</v>
      </c>
      <c r="AB30" s="4">
        <v>-0.3</v>
      </c>
      <c r="AC30" s="20">
        <f t="shared" si="19"/>
        <v>1.7</v>
      </c>
    </row>
    <row r="31" spans="1:29" x14ac:dyDescent="0.3">
      <c r="A31">
        <f t="shared" si="20"/>
        <v>4</v>
      </c>
      <c r="B31" t="str">
        <f t="shared" si="13"/>
        <v>Dave Brauer</v>
      </c>
      <c r="C31" s="14">
        <f t="shared" ref="C31:U31" si="21">+C6-1</f>
        <v>4</v>
      </c>
      <c r="D31" s="14">
        <f t="shared" si="21"/>
        <v>4</v>
      </c>
      <c r="E31" s="14">
        <f t="shared" si="21"/>
        <v>4</v>
      </c>
      <c r="F31" s="14">
        <f t="shared" si="21"/>
        <v>4</v>
      </c>
      <c r="G31" s="14">
        <f t="shared" si="21"/>
        <v>3</v>
      </c>
      <c r="H31" s="14">
        <f t="shared" si="21"/>
        <v>3</v>
      </c>
      <c r="I31" s="14">
        <f>+I6-2</f>
        <v>4</v>
      </c>
      <c r="J31" s="14">
        <f t="shared" si="21"/>
        <v>4</v>
      </c>
      <c r="K31" s="14">
        <f t="shared" si="21"/>
        <v>4</v>
      </c>
      <c r="L31" s="12">
        <f t="shared" si="15"/>
        <v>34</v>
      </c>
      <c r="M31" s="14">
        <f t="shared" si="21"/>
        <v>4</v>
      </c>
      <c r="N31" s="14">
        <f t="shared" si="21"/>
        <v>4</v>
      </c>
      <c r="O31" s="14">
        <f t="shared" si="21"/>
        <v>3</v>
      </c>
      <c r="P31" s="14">
        <f t="shared" si="21"/>
        <v>6</v>
      </c>
      <c r="Q31" s="14">
        <f t="shared" si="21"/>
        <v>3</v>
      </c>
      <c r="R31" s="14">
        <f t="shared" si="21"/>
        <v>3</v>
      </c>
      <c r="S31" s="14">
        <f>+S6-2</f>
        <v>3</v>
      </c>
      <c r="T31" s="14">
        <f t="shared" si="21"/>
        <v>4</v>
      </c>
      <c r="U31" s="14">
        <f t="shared" si="21"/>
        <v>4</v>
      </c>
      <c r="V31" s="12">
        <f t="shared" si="17"/>
        <v>34</v>
      </c>
      <c r="W31" s="12">
        <f t="shared" si="18"/>
        <v>68</v>
      </c>
      <c r="X31" s="4">
        <f>(0.5*6)-(0.5*6)</f>
        <v>0</v>
      </c>
      <c r="Y31" s="4">
        <f>(0.5*13)-(0.5*1)</f>
        <v>6</v>
      </c>
      <c r="Z31" s="18">
        <f>(1*11)-(1*3)</f>
        <v>8</v>
      </c>
      <c r="AA31" s="20">
        <f t="shared" si="12"/>
        <v>14</v>
      </c>
      <c r="AB31" s="4">
        <v>4.9000000000000004</v>
      </c>
      <c r="AC31" s="20">
        <f t="shared" si="19"/>
        <v>18.899999999999999</v>
      </c>
    </row>
    <row r="32" spans="1:29" x14ac:dyDescent="0.3">
      <c r="A32">
        <f t="shared" si="20"/>
        <v>5</v>
      </c>
      <c r="B32" t="str">
        <f t="shared" si="13"/>
        <v>John Sullivan</v>
      </c>
      <c r="C32" s="14">
        <f t="shared" ref="C32:U32" si="22">+C7-1</f>
        <v>5</v>
      </c>
      <c r="D32" s="14">
        <f t="shared" si="22"/>
        <v>4</v>
      </c>
      <c r="E32" s="14">
        <f t="shared" si="22"/>
        <v>4</v>
      </c>
      <c r="F32" s="14">
        <f t="shared" si="22"/>
        <v>4</v>
      </c>
      <c r="G32" s="14">
        <f t="shared" si="22"/>
        <v>3</v>
      </c>
      <c r="H32" s="14">
        <f t="shared" si="22"/>
        <v>3</v>
      </c>
      <c r="I32" s="14">
        <f t="shared" si="22"/>
        <v>5</v>
      </c>
      <c r="J32" s="14">
        <f t="shared" si="22"/>
        <v>4</v>
      </c>
      <c r="K32" s="14">
        <f t="shared" si="22"/>
        <v>4</v>
      </c>
      <c r="L32" s="12">
        <f t="shared" si="15"/>
        <v>36</v>
      </c>
      <c r="M32" s="14">
        <f t="shared" si="22"/>
        <v>5</v>
      </c>
      <c r="N32" s="14">
        <f t="shared" si="22"/>
        <v>4</v>
      </c>
      <c r="O32" s="14">
        <f t="shared" si="22"/>
        <v>6</v>
      </c>
      <c r="P32" s="14">
        <f t="shared" si="22"/>
        <v>6</v>
      </c>
      <c r="Q32" s="14">
        <f t="shared" si="22"/>
        <v>2</v>
      </c>
      <c r="R32" s="14">
        <f t="shared" si="22"/>
        <v>3</v>
      </c>
      <c r="S32" s="14">
        <f t="shared" si="22"/>
        <v>5</v>
      </c>
      <c r="T32" s="14">
        <f t="shared" si="22"/>
        <v>5</v>
      </c>
      <c r="U32" s="14">
        <f t="shared" si="22"/>
        <v>5</v>
      </c>
      <c r="V32" s="12">
        <f t="shared" si="17"/>
        <v>41</v>
      </c>
      <c r="W32" s="12">
        <f t="shared" si="18"/>
        <v>77</v>
      </c>
      <c r="X32" s="4">
        <f>(0.5*6)-(0.5*6)</f>
        <v>0</v>
      </c>
      <c r="Y32" s="4">
        <f>(0.5*12)-(0.5*3)</f>
        <v>4.5</v>
      </c>
      <c r="Z32" s="18">
        <f>(1*10)-(1*5)</f>
        <v>5</v>
      </c>
      <c r="AA32" s="20">
        <f t="shared" si="12"/>
        <v>9.5</v>
      </c>
      <c r="AB32" s="4">
        <v>4.9000000000000004</v>
      </c>
      <c r="AC32" s="20">
        <f t="shared" si="19"/>
        <v>14.4</v>
      </c>
    </row>
    <row r="33" spans="1:29" x14ac:dyDescent="0.3">
      <c r="A33">
        <f t="shared" si="20"/>
        <v>6</v>
      </c>
      <c r="B33" t="str">
        <f t="shared" si="13"/>
        <v>Ralph</v>
      </c>
      <c r="C33" s="14">
        <f>+C8-1</f>
        <v>3</v>
      </c>
      <c r="D33" s="14">
        <f>+D8-1</f>
        <v>3</v>
      </c>
      <c r="E33" s="14">
        <f>+E8-1</f>
        <v>3</v>
      </c>
      <c r="F33" s="14">
        <f t="shared" ref="F33:K33" si="23">+F8-2</f>
        <v>3</v>
      </c>
      <c r="G33" s="14">
        <f t="shared" si="23"/>
        <v>2</v>
      </c>
      <c r="H33" s="14">
        <f>+H8-1</f>
        <v>3</v>
      </c>
      <c r="I33" s="14">
        <f t="shared" si="23"/>
        <v>3</v>
      </c>
      <c r="J33" s="14">
        <f>+J8-1</f>
        <v>4</v>
      </c>
      <c r="K33" s="14">
        <f t="shared" si="23"/>
        <v>3</v>
      </c>
      <c r="L33" s="12">
        <f t="shared" si="15"/>
        <v>27</v>
      </c>
      <c r="M33" s="14">
        <f>+M8-1</f>
        <v>3</v>
      </c>
      <c r="N33" s="14">
        <f>+N8-1</f>
        <v>4</v>
      </c>
      <c r="O33" s="14">
        <f>+O8-1</f>
        <v>4</v>
      </c>
      <c r="P33" s="14">
        <f>+P8-1</f>
        <v>5</v>
      </c>
      <c r="Q33" s="14">
        <f>+Q8-2</f>
        <v>2</v>
      </c>
      <c r="R33" s="14">
        <f>+R8-1</f>
        <v>2</v>
      </c>
      <c r="S33" s="14">
        <f>+S8-2</f>
        <v>4</v>
      </c>
      <c r="T33" s="14">
        <f>+T8-1</f>
        <v>4</v>
      </c>
      <c r="U33" s="14">
        <f>+U8-2</f>
        <v>3</v>
      </c>
      <c r="V33" s="12">
        <f t="shared" si="17"/>
        <v>31</v>
      </c>
      <c r="W33" s="11">
        <f>+V33+L33</f>
        <v>58</v>
      </c>
      <c r="X33" s="4">
        <f>(0.5*12)-(0.5*3)</f>
        <v>4.5</v>
      </c>
      <c r="Y33" s="18">
        <f>15*0.5</f>
        <v>7.5</v>
      </c>
      <c r="Z33" s="18">
        <v>15</v>
      </c>
      <c r="AA33" s="20">
        <f t="shared" si="12"/>
        <v>27</v>
      </c>
      <c r="AB33" s="4">
        <v>11.8</v>
      </c>
      <c r="AC33" s="20">
        <f t="shared" si="19"/>
        <v>38.799999999999997</v>
      </c>
    </row>
    <row r="34" spans="1:29" x14ac:dyDescent="0.3">
      <c r="A34">
        <f t="shared" si="20"/>
        <v>7</v>
      </c>
      <c r="B34" t="str">
        <f t="shared" si="13"/>
        <v>Leo</v>
      </c>
      <c r="C34" s="14">
        <f>+C9-3</f>
        <v>8</v>
      </c>
      <c r="D34" s="14">
        <f>+D9-3</f>
        <v>4</v>
      </c>
      <c r="E34" s="14">
        <f>+E9-3</f>
        <v>6</v>
      </c>
      <c r="F34" s="14">
        <f>+F9-3</f>
        <v>6</v>
      </c>
      <c r="G34" s="14">
        <f>+G9-4</f>
        <v>0</v>
      </c>
      <c r="H34" s="14">
        <f>+H9-3</f>
        <v>2</v>
      </c>
      <c r="I34" s="14">
        <f>+I9-4</f>
        <v>6</v>
      </c>
      <c r="J34" s="14">
        <f>+J9-3</f>
        <v>6</v>
      </c>
      <c r="K34" s="14">
        <f>+K9-3</f>
        <v>3</v>
      </c>
      <c r="L34" s="12">
        <f t="shared" si="15"/>
        <v>41</v>
      </c>
      <c r="M34" s="14">
        <f t="shared" ref="M34:R34" si="24">+M9-3</f>
        <v>4</v>
      </c>
      <c r="N34" s="14">
        <f t="shared" si="24"/>
        <v>4</v>
      </c>
      <c r="O34" s="14">
        <f t="shared" si="24"/>
        <v>5</v>
      </c>
      <c r="P34" s="14">
        <f t="shared" si="24"/>
        <v>6</v>
      </c>
      <c r="Q34" s="14">
        <f t="shared" si="24"/>
        <v>1</v>
      </c>
      <c r="R34" s="14">
        <f t="shared" si="24"/>
        <v>4</v>
      </c>
      <c r="S34" s="14">
        <f>+S9-4</f>
        <v>4</v>
      </c>
      <c r="T34" s="14">
        <f>+T9-3</f>
        <v>4</v>
      </c>
      <c r="U34" s="14">
        <f>+U9-3</f>
        <v>5</v>
      </c>
      <c r="V34" s="12">
        <f t="shared" si="17"/>
        <v>37</v>
      </c>
      <c r="W34" s="12">
        <f>+V34+L34</f>
        <v>78</v>
      </c>
      <c r="X34" s="4">
        <f>15*0.5</f>
        <v>7.5</v>
      </c>
      <c r="Y34" s="18">
        <f>(0.5*3)-(0.5*12)</f>
        <v>-4.5</v>
      </c>
      <c r="Z34" s="18">
        <f>(1*11)-(1*3)</f>
        <v>8</v>
      </c>
      <c r="AA34" s="20">
        <f t="shared" si="12"/>
        <v>11</v>
      </c>
      <c r="AB34" s="4">
        <v>-0.3</v>
      </c>
      <c r="AC34" s="20">
        <f t="shared" si="19"/>
        <v>10.7</v>
      </c>
    </row>
    <row r="35" spans="1:29" x14ac:dyDescent="0.3">
      <c r="A35">
        <f t="shared" si="20"/>
        <v>8</v>
      </c>
      <c r="B35" t="str">
        <f t="shared" si="13"/>
        <v>Matt Lawrence</v>
      </c>
      <c r="C35" s="14">
        <f>+C10-1</f>
        <v>4</v>
      </c>
      <c r="D35" s="14">
        <f>+D10</f>
        <v>4</v>
      </c>
      <c r="E35" s="14">
        <f>+E10</f>
        <v>5</v>
      </c>
      <c r="F35" s="14">
        <f t="shared" ref="F35:K37" si="25">+F10-1</f>
        <v>7</v>
      </c>
      <c r="G35" s="14">
        <f t="shared" si="25"/>
        <v>2</v>
      </c>
      <c r="H35" s="14">
        <f t="shared" si="25"/>
        <v>3</v>
      </c>
      <c r="I35" s="14">
        <f t="shared" si="25"/>
        <v>3</v>
      </c>
      <c r="J35" s="14">
        <f t="shared" si="25"/>
        <v>4</v>
      </c>
      <c r="K35" s="14">
        <f t="shared" si="25"/>
        <v>4</v>
      </c>
      <c r="L35" s="12">
        <f t="shared" si="15"/>
        <v>36</v>
      </c>
      <c r="M35" s="14">
        <f>+M10-1</f>
        <v>4</v>
      </c>
      <c r="N35" s="14">
        <f>+N10</f>
        <v>6</v>
      </c>
      <c r="O35" s="14">
        <f>+O10</f>
        <v>5</v>
      </c>
      <c r="P35" s="14">
        <f t="shared" ref="P35:R37" si="26">+P10-1</f>
        <v>5</v>
      </c>
      <c r="Q35" s="14">
        <f t="shared" si="26"/>
        <v>3</v>
      </c>
      <c r="R35" s="14">
        <f t="shared" si="26"/>
        <v>3</v>
      </c>
      <c r="S35" s="14">
        <f t="shared" ref="S35:U36" si="27">+S10-1</f>
        <v>4</v>
      </c>
      <c r="T35" s="14">
        <f t="shared" si="27"/>
        <v>7</v>
      </c>
      <c r="U35" s="14">
        <f t="shared" si="27"/>
        <v>4</v>
      </c>
      <c r="V35" s="12">
        <f t="shared" si="17"/>
        <v>41</v>
      </c>
      <c r="W35" s="12">
        <f t="shared" si="18"/>
        <v>77</v>
      </c>
      <c r="X35" s="4">
        <f>(0.5*13)-(0.5*2)</f>
        <v>5.5</v>
      </c>
      <c r="Y35" s="18">
        <f>(0.5*10)-(0.5*4)</f>
        <v>3</v>
      </c>
      <c r="Z35" s="18">
        <f>(1*13)-(1*2)</f>
        <v>11</v>
      </c>
      <c r="AA35" s="20">
        <f t="shared" si="12"/>
        <v>19.5</v>
      </c>
      <c r="AB35" s="4">
        <v>7.3</v>
      </c>
      <c r="AC35" s="20">
        <f t="shared" si="19"/>
        <v>26.8</v>
      </c>
    </row>
    <row r="36" spans="1:29" x14ac:dyDescent="0.3">
      <c r="A36">
        <f t="shared" si="20"/>
        <v>9</v>
      </c>
      <c r="B36" t="str">
        <f t="shared" si="13"/>
        <v>Jerry Flynn</v>
      </c>
      <c r="C36" s="14">
        <f>+C11-1</f>
        <v>4</v>
      </c>
      <c r="D36" s="14">
        <f>+D11</f>
        <v>5</v>
      </c>
      <c r="E36" s="14">
        <f>+E11-1</f>
        <v>3</v>
      </c>
      <c r="F36" s="14">
        <f t="shared" si="25"/>
        <v>5</v>
      </c>
      <c r="G36" s="14">
        <f t="shared" si="25"/>
        <v>3</v>
      </c>
      <c r="H36" s="14">
        <f t="shared" si="25"/>
        <v>3</v>
      </c>
      <c r="I36" s="14">
        <f t="shared" si="25"/>
        <v>5</v>
      </c>
      <c r="J36" s="14">
        <f t="shared" si="25"/>
        <v>4</v>
      </c>
      <c r="K36" s="14">
        <f t="shared" si="25"/>
        <v>4</v>
      </c>
      <c r="L36" s="12">
        <f>SUM(C36:K36)</f>
        <v>36</v>
      </c>
      <c r="M36" s="14">
        <f>+M11-1</f>
        <v>4</v>
      </c>
      <c r="N36" s="14">
        <f>+N11</f>
        <v>7</v>
      </c>
      <c r="O36" s="14">
        <f>+O11-1</f>
        <v>4</v>
      </c>
      <c r="P36" s="14">
        <f t="shared" si="26"/>
        <v>5</v>
      </c>
      <c r="Q36" s="14">
        <f t="shared" si="26"/>
        <v>2</v>
      </c>
      <c r="R36" s="14">
        <f t="shared" si="26"/>
        <v>2</v>
      </c>
      <c r="S36" s="14">
        <f t="shared" si="27"/>
        <v>5</v>
      </c>
      <c r="T36" s="14">
        <f t="shared" si="27"/>
        <v>5</v>
      </c>
      <c r="U36" s="14">
        <f t="shared" si="27"/>
        <v>3</v>
      </c>
      <c r="V36" s="12">
        <f t="shared" si="17"/>
        <v>37</v>
      </c>
      <c r="W36" s="12">
        <f t="shared" si="18"/>
        <v>73</v>
      </c>
      <c r="X36" s="4">
        <f>(0.5*4)-(0.5*11)</f>
        <v>-3.5</v>
      </c>
      <c r="Y36" s="18">
        <f>(0.5*1)-(0.5*13)</f>
        <v>-6</v>
      </c>
      <c r="Z36" s="18">
        <f>(1*1)-(1*14)</f>
        <v>-13</v>
      </c>
      <c r="AA36" s="20">
        <f t="shared" si="12"/>
        <v>-22.5</v>
      </c>
      <c r="AB36" s="4">
        <v>-11.1</v>
      </c>
      <c r="AC36" s="20">
        <f t="shared" si="19"/>
        <v>-33.6</v>
      </c>
    </row>
    <row r="37" spans="1:29" x14ac:dyDescent="0.3">
      <c r="A37">
        <f t="shared" si="20"/>
        <v>10</v>
      </c>
      <c r="B37" t="str">
        <f t="shared" si="13"/>
        <v>Mike Flynn</v>
      </c>
      <c r="C37" s="14">
        <f>+C12-1</f>
        <v>4</v>
      </c>
      <c r="D37" s="14">
        <f>+D12</f>
        <v>4</v>
      </c>
      <c r="E37" s="14">
        <f>+E12</f>
        <v>4</v>
      </c>
      <c r="F37" s="14">
        <f t="shared" si="25"/>
        <v>4</v>
      </c>
      <c r="G37" s="14">
        <f t="shared" si="25"/>
        <v>3</v>
      </c>
      <c r="H37" s="14">
        <f t="shared" si="25"/>
        <v>3</v>
      </c>
      <c r="I37" s="14">
        <f t="shared" si="25"/>
        <v>3</v>
      </c>
      <c r="J37" s="14">
        <f t="shared" si="25"/>
        <v>3</v>
      </c>
      <c r="K37" s="14">
        <f t="shared" si="25"/>
        <v>3</v>
      </c>
      <c r="L37" s="12">
        <f t="shared" si="15"/>
        <v>31</v>
      </c>
      <c r="M37" s="14">
        <f>+M12-1</f>
        <v>4</v>
      </c>
      <c r="N37" s="14">
        <f>+N12</f>
        <v>5</v>
      </c>
      <c r="O37" s="14">
        <f>+O12</f>
        <v>6</v>
      </c>
      <c r="P37" s="14">
        <f t="shared" si="26"/>
        <v>4</v>
      </c>
      <c r="Q37" s="14">
        <f t="shared" si="26"/>
        <v>2</v>
      </c>
      <c r="R37" s="14">
        <f t="shared" si="26"/>
        <v>2</v>
      </c>
      <c r="S37" s="14">
        <f>+S12-1</f>
        <v>4</v>
      </c>
      <c r="T37" s="14">
        <f>+T12</f>
        <v>5</v>
      </c>
      <c r="U37" s="14">
        <f>+U12-1</f>
        <v>2</v>
      </c>
      <c r="V37" s="12">
        <f t="shared" si="17"/>
        <v>34</v>
      </c>
      <c r="W37" s="19">
        <f t="shared" si="18"/>
        <v>65</v>
      </c>
      <c r="X37" s="4">
        <f>(0.5*11)-(0.5*4)</f>
        <v>3.5</v>
      </c>
      <c r="Y37" s="18">
        <f>(0.5*6)-(0.5*9)</f>
        <v>-1.5</v>
      </c>
      <c r="Z37" s="18">
        <f>(1*9)-(1*6)</f>
        <v>3</v>
      </c>
      <c r="AA37" s="20">
        <f t="shared" si="12"/>
        <v>5</v>
      </c>
      <c r="AB37" s="4">
        <v>-1.9</v>
      </c>
      <c r="AC37" s="20">
        <f t="shared" si="19"/>
        <v>3.1</v>
      </c>
    </row>
    <row r="38" spans="1:29" x14ac:dyDescent="0.3">
      <c r="A38">
        <f t="shared" si="20"/>
        <v>11</v>
      </c>
      <c r="B38" t="str">
        <f t="shared" si="13"/>
        <v>Sean Flynn</v>
      </c>
      <c r="C38" s="14">
        <f>+C13</f>
        <v>5</v>
      </c>
      <c r="D38" s="14">
        <f t="shared" ref="D38:J38" si="28">+D13</f>
        <v>4</v>
      </c>
      <c r="E38" s="14">
        <f t="shared" si="28"/>
        <v>3</v>
      </c>
      <c r="F38" s="14">
        <f t="shared" si="28"/>
        <v>7</v>
      </c>
      <c r="G38" s="14">
        <f>+G13-1</f>
        <v>3</v>
      </c>
      <c r="H38" s="14">
        <f t="shared" si="28"/>
        <v>3</v>
      </c>
      <c r="I38" s="14">
        <f>+I13-1</f>
        <v>6</v>
      </c>
      <c r="J38" s="14">
        <f t="shared" si="28"/>
        <v>5</v>
      </c>
      <c r="K38" s="14">
        <f>+K13-1</f>
        <v>3</v>
      </c>
      <c r="L38" s="12">
        <f t="shared" si="15"/>
        <v>39</v>
      </c>
      <c r="M38" s="14">
        <f t="shared" ref="M38:U38" si="29">+M13</f>
        <v>4</v>
      </c>
      <c r="N38" s="14">
        <f t="shared" si="29"/>
        <v>3</v>
      </c>
      <c r="O38" s="14">
        <f t="shared" si="29"/>
        <v>6</v>
      </c>
      <c r="P38" s="14">
        <f t="shared" si="29"/>
        <v>6</v>
      </c>
      <c r="Q38" s="14">
        <f>+Q13-1</f>
        <v>4</v>
      </c>
      <c r="R38" s="14">
        <f t="shared" si="29"/>
        <v>4</v>
      </c>
      <c r="S38" s="14">
        <f>+S13-1</f>
        <v>5</v>
      </c>
      <c r="T38" s="14">
        <f t="shared" si="29"/>
        <v>5</v>
      </c>
      <c r="U38" s="14">
        <f t="shared" si="29"/>
        <v>4</v>
      </c>
      <c r="V38" s="12">
        <f t="shared" si="17"/>
        <v>41</v>
      </c>
      <c r="W38" s="12">
        <f t="shared" si="18"/>
        <v>80</v>
      </c>
      <c r="X38" s="4">
        <v>-7.5</v>
      </c>
      <c r="Y38" s="18">
        <v>-7.5</v>
      </c>
      <c r="Z38" s="4">
        <v>-15</v>
      </c>
      <c r="AA38" s="20">
        <f t="shared" si="12"/>
        <v>-30</v>
      </c>
      <c r="AB38" s="4">
        <v>-12</v>
      </c>
      <c r="AC38" s="20">
        <f t="shared" si="19"/>
        <v>-42</v>
      </c>
    </row>
    <row r="39" spans="1:29" x14ac:dyDescent="0.3">
      <c r="A39">
        <f t="shared" si="20"/>
        <v>12</v>
      </c>
      <c r="B39" t="str">
        <f t="shared" si="13"/>
        <v>Kevin Fitzgerald</v>
      </c>
      <c r="C39" s="14">
        <f t="shared" ref="C39:E40" si="30">+C14-1</f>
        <v>5</v>
      </c>
      <c r="D39" s="14">
        <f t="shared" si="30"/>
        <v>5</v>
      </c>
      <c r="E39" s="14">
        <f t="shared" si="30"/>
        <v>4</v>
      </c>
      <c r="F39" s="14">
        <f t="shared" ref="F39:K39" si="31">+F14-2</f>
        <v>5</v>
      </c>
      <c r="G39" s="14">
        <f t="shared" si="31"/>
        <v>1</v>
      </c>
      <c r="H39" s="14">
        <f>+H14-1</f>
        <v>3</v>
      </c>
      <c r="I39" s="14">
        <f t="shared" si="31"/>
        <v>3</v>
      </c>
      <c r="J39" s="14">
        <f>+J14-1</f>
        <v>4</v>
      </c>
      <c r="K39" s="14">
        <f t="shared" si="31"/>
        <v>3</v>
      </c>
      <c r="L39" s="12">
        <f>SUM(C39:K39)</f>
        <v>33</v>
      </c>
      <c r="M39" s="14">
        <f>+M14-1</f>
        <v>5</v>
      </c>
      <c r="N39" s="14">
        <f>+N14-1</f>
        <v>5</v>
      </c>
      <c r="O39" s="14">
        <f>+O14-1</f>
        <v>4</v>
      </c>
      <c r="P39" s="14">
        <f>+P14-1</f>
        <v>5</v>
      </c>
      <c r="Q39" s="14">
        <f>+Q14-2</f>
        <v>1</v>
      </c>
      <c r="R39" s="14">
        <f>+R14-1</f>
        <v>7</v>
      </c>
      <c r="S39" s="14">
        <f>+S14-2</f>
        <v>3</v>
      </c>
      <c r="T39" s="14">
        <f>+T14-1</f>
        <v>5</v>
      </c>
      <c r="U39" s="14">
        <f>+U14-2</f>
        <v>6</v>
      </c>
      <c r="V39" s="12">
        <f t="shared" si="17"/>
        <v>41</v>
      </c>
      <c r="W39" s="12">
        <f t="shared" si="18"/>
        <v>74</v>
      </c>
      <c r="X39" s="4">
        <f>14*0.5-0.5</f>
        <v>6.5</v>
      </c>
      <c r="Y39" s="18">
        <f>(0.5*10)-(0.5*4)</f>
        <v>3</v>
      </c>
      <c r="Z39" s="18">
        <f>(1*14)-(1*1)</f>
        <v>13</v>
      </c>
      <c r="AA39" s="20">
        <f t="shared" si="12"/>
        <v>22.5</v>
      </c>
      <c r="AB39" s="4">
        <v>12</v>
      </c>
      <c r="AC39" s="20">
        <f t="shared" si="19"/>
        <v>34.5</v>
      </c>
    </row>
    <row r="40" spans="1:29" x14ac:dyDescent="0.3">
      <c r="A40">
        <f t="shared" si="20"/>
        <v>13</v>
      </c>
      <c r="B40" t="str">
        <f t="shared" si="13"/>
        <v>Richard McGovern</v>
      </c>
      <c r="C40" s="14">
        <f t="shared" si="30"/>
        <v>4</v>
      </c>
      <c r="D40" s="14">
        <f t="shared" si="30"/>
        <v>4</v>
      </c>
      <c r="E40" s="14">
        <f t="shared" si="30"/>
        <v>5</v>
      </c>
      <c r="F40" s="14">
        <f>+F15-2</f>
        <v>4</v>
      </c>
      <c r="G40" s="14">
        <f>+G15-2</f>
        <v>3</v>
      </c>
      <c r="H40" s="14">
        <f>+H15-2</f>
        <v>2</v>
      </c>
      <c r="I40" s="14">
        <f>+I15-2</f>
        <v>4</v>
      </c>
      <c r="J40" s="14">
        <f>+J15-1</f>
        <v>6</v>
      </c>
      <c r="K40" s="14">
        <f>+K15-2</f>
        <v>3</v>
      </c>
      <c r="L40" s="12">
        <f>SUM(C40:K40)</f>
        <v>35</v>
      </c>
      <c r="M40" s="14">
        <f>+M15-1</f>
        <v>6</v>
      </c>
      <c r="N40" s="14">
        <f>+N15-1</f>
        <v>4</v>
      </c>
      <c r="O40" s="14">
        <f>+O15-1</f>
        <v>6</v>
      </c>
      <c r="P40" s="14">
        <f t="shared" ref="P40:S40" si="32">+P15-2</f>
        <v>5</v>
      </c>
      <c r="Q40" s="14">
        <f t="shared" si="32"/>
        <v>1</v>
      </c>
      <c r="R40" s="14">
        <f t="shared" si="32"/>
        <v>2</v>
      </c>
      <c r="S40" s="14">
        <f t="shared" si="32"/>
        <v>4</v>
      </c>
      <c r="T40" s="14">
        <f>+T15-1</f>
        <v>4</v>
      </c>
      <c r="U40" s="14">
        <f>+U15-2</f>
        <v>3</v>
      </c>
      <c r="V40" s="12">
        <f t="shared" si="17"/>
        <v>35</v>
      </c>
      <c r="W40" s="12">
        <f t="shared" si="18"/>
        <v>70</v>
      </c>
      <c r="X40" s="4">
        <f>(0.5*10)-(0.5*5)</f>
        <v>2.5</v>
      </c>
      <c r="Y40" s="18">
        <f>(0.5*1)-(0.5*13)</f>
        <v>-6</v>
      </c>
      <c r="Z40" s="18">
        <f>(1*4)-(1*11)</f>
        <v>-7</v>
      </c>
      <c r="AA40" s="20">
        <f t="shared" si="12"/>
        <v>-10.5</v>
      </c>
      <c r="AB40" s="4">
        <v>-1.5</v>
      </c>
      <c r="AC40" s="20">
        <f t="shared" si="19"/>
        <v>-12</v>
      </c>
    </row>
    <row r="41" spans="1:29" x14ac:dyDescent="0.3">
      <c r="A41">
        <f t="shared" si="20"/>
        <v>14</v>
      </c>
      <c r="B41" t="str">
        <f t="shared" si="13"/>
        <v>Mike Fitzgerald</v>
      </c>
      <c r="C41" s="14">
        <f>+C16-1</f>
        <v>3</v>
      </c>
      <c r="D41" s="14">
        <f>+D16</f>
        <v>5</v>
      </c>
      <c r="E41" s="14">
        <f>+E16-1</f>
        <v>3</v>
      </c>
      <c r="F41" s="14">
        <f>+F16-1</f>
        <v>4</v>
      </c>
      <c r="G41" s="14">
        <f>+G16-1</f>
        <v>2</v>
      </c>
      <c r="H41" s="14">
        <f>+H16-1</f>
        <v>1</v>
      </c>
      <c r="I41" s="14">
        <f>+I16-1</f>
        <v>4</v>
      </c>
      <c r="J41" s="14">
        <f>+J16-1</f>
        <v>5</v>
      </c>
      <c r="K41" s="14">
        <f>+K16-1</f>
        <v>4</v>
      </c>
      <c r="L41" s="12">
        <f>SUM(C41:K41)</f>
        <v>31</v>
      </c>
      <c r="M41" s="14">
        <f>+M16-1</f>
        <v>8</v>
      </c>
      <c r="N41" s="14">
        <f>+N16</f>
        <v>4</v>
      </c>
      <c r="O41" s="14">
        <f>+O16</f>
        <v>5</v>
      </c>
      <c r="P41" s="14">
        <f>+P16-1</f>
        <v>5</v>
      </c>
      <c r="Q41" s="14">
        <f>+Q16-1</f>
        <v>3</v>
      </c>
      <c r="R41" s="14">
        <f>+R16-1</f>
        <v>2</v>
      </c>
      <c r="S41" s="14">
        <f>+S16-1</f>
        <v>3</v>
      </c>
      <c r="T41" s="14">
        <f>+T16-1</f>
        <v>4</v>
      </c>
      <c r="U41" s="14">
        <f>+U16-1</f>
        <v>3</v>
      </c>
      <c r="V41" s="12">
        <f t="shared" si="17"/>
        <v>37</v>
      </c>
      <c r="W41" s="12">
        <f t="shared" si="18"/>
        <v>68</v>
      </c>
      <c r="X41" s="4">
        <f>(0.5*2)-(0.5*12)</f>
        <v>-5</v>
      </c>
      <c r="Y41" s="4">
        <f>(0.5*7)-(0.5*7)</f>
        <v>0</v>
      </c>
      <c r="Z41" s="18">
        <f>(1*3)-(1*12)</f>
        <v>-9</v>
      </c>
      <c r="AA41" s="20">
        <f t="shared" si="12"/>
        <v>-14</v>
      </c>
      <c r="AB41" s="4">
        <v>-2.2000000000000002</v>
      </c>
      <c r="AC41" s="20">
        <f t="shared" si="19"/>
        <v>-16.2</v>
      </c>
    </row>
    <row r="42" spans="1:29" x14ac:dyDescent="0.3">
      <c r="A42">
        <f t="shared" si="20"/>
        <v>15</v>
      </c>
      <c r="B42" t="str">
        <f t="shared" si="13"/>
        <v>Matt Brauer</v>
      </c>
      <c r="C42" s="14">
        <f>+C17</f>
        <v>4</v>
      </c>
      <c r="D42" s="14">
        <f t="shared" ref="D42:K42" si="33">+D17</f>
        <v>5</v>
      </c>
      <c r="E42" s="14">
        <f t="shared" si="33"/>
        <v>4</v>
      </c>
      <c r="F42" s="14">
        <f t="shared" si="33"/>
        <v>5</v>
      </c>
      <c r="G42" s="14">
        <f t="shared" si="33"/>
        <v>3</v>
      </c>
      <c r="H42" s="14">
        <f t="shared" si="33"/>
        <v>4</v>
      </c>
      <c r="I42" s="14">
        <f t="shared" si="33"/>
        <v>4</v>
      </c>
      <c r="J42" s="14">
        <f t="shared" si="33"/>
        <v>4</v>
      </c>
      <c r="K42" s="14">
        <f t="shared" si="33"/>
        <v>5</v>
      </c>
      <c r="L42" s="12">
        <f t="shared" si="15"/>
        <v>38</v>
      </c>
      <c r="M42" s="14">
        <f t="shared" ref="M42:U42" si="34">+M17</f>
        <v>4</v>
      </c>
      <c r="N42" s="14">
        <f t="shared" si="34"/>
        <v>6</v>
      </c>
      <c r="O42" s="14">
        <f t="shared" si="34"/>
        <v>4</v>
      </c>
      <c r="P42" s="14">
        <f t="shared" si="34"/>
        <v>5</v>
      </c>
      <c r="Q42" s="14">
        <f t="shared" si="34"/>
        <v>4</v>
      </c>
      <c r="R42" s="14">
        <f t="shared" si="34"/>
        <v>3</v>
      </c>
      <c r="S42" s="14">
        <f t="shared" si="34"/>
        <v>5</v>
      </c>
      <c r="T42" s="14">
        <f t="shared" si="34"/>
        <v>4</v>
      </c>
      <c r="U42" s="14">
        <f t="shared" si="34"/>
        <v>4</v>
      </c>
      <c r="V42" s="12">
        <f t="shared" si="17"/>
        <v>39</v>
      </c>
      <c r="W42" s="12">
        <f t="shared" si="18"/>
        <v>77</v>
      </c>
      <c r="X42" s="4"/>
      <c r="Y42" s="4"/>
      <c r="Z42" s="18"/>
      <c r="AA42" s="20"/>
      <c r="AB42" s="4"/>
      <c r="AC42" s="20"/>
    </row>
    <row r="43" spans="1:29" x14ac:dyDescent="0.3">
      <c r="A43">
        <f t="shared" si="20"/>
        <v>16</v>
      </c>
      <c r="B43" t="str">
        <f t="shared" si="13"/>
        <v>Blake Dougan</v>
      </c>
      <c r="C43" s="14">
        <f>+C18</f>
        <v>5</v>
      </c>
      <c r="D43" s="14">
        <f t="shared" ref="D43:K43" si="35">+D18</f>
        <v>5</v>
      </c>
      <c r="E43" s="14">
        <f t="shared" si="35"/>
        <v>5</v>
      </c>
      <c r="F43" s="14">
        <f t="shared" si="35"/>
        <v>6</v>
      </c>
      <c r="G43" s="14">
        <f t="shared" si="35"/>
        <v>6</v>
      </c>
      <c r="H43" s="14">
        <f t="shared" si="35"/>
        <v>6</v>
      </c>
      <c r="I43" s="14">
        <f t="shared" si="35"/>
        <v>6</v>
      </c>
      <c r="J43" s="14">
        <f t="shared" si="35"/>
        <v>6</v>
      </c>
      <c r="K43" s="14">
        <f t="shared" si="35"/>
        <v>6</v>
      </c>
      <c r="L43" s="12">
        <f t="shared" si="15"/>
        <v>51</v>
      </c>
      <c r="M43" s="14">
        <f t="shared" ref="M43:U43" si="36">+M18</f>
        <v>7</v>
      </c>
      <c r="N43" s="14">
        <f t="shared" si="36"/>
        <v>6</v>
      </c>
      <c r="O43" s="14">
        <f t="shared" si="36"/>
        <v>6</v>
      </c>
      <c r="P43" s="14">
        <f t="shared" si="36"/>
        <v>7</v>
      </c>
      <c r="Q43" s="14">
        <f t="shared" si="36"/>
        <v>3</v>
      </c>
      <c r="R43" s="14">
        <f t="shared" si="36"/>
        <v>5</v>
      </c>
      <c r="S43" s="14">
        <f t="shared" si="36"/>
        <v>5</v>
      </c>
      <c r="T43" s="14">
        <f t="shared" si="36"/>
        <v>5</v>
      </c>
      <c r="U43" s="14">
        <f t="shared" si="36"/>
        <v>7</v>
      </c>
      <c r="V43" s="12">
        <f t="shared" si="17"/>
        <v>51</v>
      </c>
      <c r="W43" s="12">
        <f t="shared" si="18"/>
        <v>102</v>
      </c>
      <c r="X43" s="4"/>
      <c r="Y43" s="4"/>
      <c r="Z43" s="18"/>
      <c r="AA43" s="20"/>
      <c r="AB43" s="4"/>
      <c r="AC43" s="20"/>
    </row>
    <row r="44" spans="1:29" x14ac:dyDescent="0.3">
      <c r="A44">
        <f t="shared" si="20"/>
        <v>17</v>
      </c>
      <c r="B44" t="str">
        <f t="shared" si="13"/>
        <v>Mike Dougan</v>
      </c>
      <c r="C44" s="14">
        <f>+C19</f>
        <v>7</v>
      </c>
      <c r="D44" s="14">
        <f t="shared" ref="D44:K44" si="37">+D19</f>
        <v>3</v>
      </c>
      <c r="E44" s="14">
        <f t="shared" si="37"/>
        <v>6</v>
      </c>
      <c r="F44" s="14">
        <f t="shared" si="37"/>
        <v>6</v>
      </c>
      <c r="G44" s="14">
        <f t="shared" si="37"/>
        <v>4</v>
      </c>
      <c r="H44" s="14">
        <f t="shared" si="37"/>
        <v>4</v>
      </c>
      <c r="I44" s="14">
        <f t="shared" si="37"/>
        <v>6</v>
      </c>
      <c r="J44" s="14">
        <f t="shared" si="37"/>
        <v>5</v>
      </c>
      <c r="K44" s="14">
        <f t="shared" si="37"/>
        <v>6</v>
      </c>
      <c r="L44" s="12">
        <f t="shared" si="15"/>
        <v>47</v>
      </c>
      <c r="M44" s="14">
        <f t="shared" ref="M44:U44" si="38">+M19</f>
        <v>6</v>
      </c>
      <c r="N44" s="14">
        <f t="shared" si="38"/>
        <v>6</v>
      </c>
      <c r="O44" s="14">
        <f t="shared" si="38"/>
        <v>5</v>
      </c>
      <c r="P44" s="14">
        <f t="shared" si="38"/>
        <v>6</v>
      </c>
      <c r="Q44" s="14">
        <f t="shared" si="38"/>
        <v>4</v>
      </c>
      <c r="R44" s="14">
        <f t="shared" si="38"/>
        <v>4</v>
      </c>
      <c r="S44" s="14">
        <f t="shared" si="38"/>
        <v>5</v>
      </c>
      <c r="T44" s="14">
        <f t="shared" si="38"/>
        <v>6</v>
      </c>
      <c r="U44" s="14">
        <f t="shared" si="38"/>
        <v>8</v>
      </c>
      <c r="V44" s="12">
        <f t="shared" si="17"/>
        <v>50</v>
      </c>
      <c r="W44" s="12">
        <f t="shared" si="18"/>
        <v>97</v>
      </c>
      <c r="X44" s="4"/>
      <c r="Y44" s="4"/>
      <c r="Z44" s="18"/>
      <c r="AA44" s="20"/>
      <c r="AB44" s="4"/>
      <c r="AC44" s="20"/>
    </row>
    <row r="45" spans="1:29" x14ac:dyDescent="0.3">
      <c r="A45">
        <f t="shared" si="20"/>
        <v>18</v>
      </c>
      <c r="B45" t="str">
        <f t="shared" si="13"/>
        <v>TJ Williams</v>
      </c>
      <c r="C45" s="14">
        <f>+C20</f>
        <v>4</v>
      </c>
      <c r="D45" s="14">
        <f t="shared" ref="D45:K45" si="39">+D20</f>
        <v>7</v>
      </c>
      <c r="E45" s="14">
        <f t="shared" si="39"/>
        <v>6</v>
      </c>
      <c r="F45" s="14">
        <f t="shared" si="39"/>
        <v>10</v>
      </c>
      <c r="G45" s="14">
        <f t="shared" si="39"/>
        <v>4</v>
      </c>
      <c r="H45" s="14">
        <f t="shared" si="39"/>
        <v>7</v>
      </c>
      <c r="I45" s="14">
        <f t="shared" si="39"/>
        <v>5</v>
      </c>
      <c r="J45" s="14">
        <f t="shared" si="39"/>
        <v>4</v>
      </c>
      <c r="K45" s="14">
        <f t="shared" si="39"/>
        <v>6</v>
      </c>
      <c r="L45" s="12">
        <f t="shared" si="15"/>
        <v>53</v>
      </c>
      <c r="M45" s="14">
        <f t="shared" ref="M45:U45" si="40">+M20</f>
        <v>6</v>
      </c>
      <c r="N45" s="14">
        <f t="shared" si="40"/>
        <v>5</v>
      </c>
      <c r="O45" s="14">
        <f t="shared" si="40"/>
        <v>6</v>
      </c>
      <c r="P45" s="14">
        <f t="shared" si="40"/>
        <v>6</v>
      </c>
      <c r="Q45" s="14">
        <f t="shared" si="40"/>
        <v>3</v>
      </c>
      <c r="R45" s="14">
        <f t="shared" si="40"/>
        <v>6</v>
      </c>
      <c r="S45" s="14">
        <f t="shared" si="40"/>
        <v>5</v>
      </c>
      <c r="T45" s="14">
        <f t="shared" si="40"/>
        <v>4</v>
      </c>
      <c r="U45" s="14">
        <f t="shared" si="40"/>
        <v>5</v>
      </c>
      <c r="V45" s="12">
        <f t="shared" si="17"/>
        <v>46</v>
      </c>
      <c r="W45" s="12">
        <f t="shared" si="18"/>
        <v>99</v>
      </c>
      <c r="X45" s="4"/>
      <c r="Y45" s="4"/>
      <c r="Z45" s="18"/>
      <c r="AA45" s="20"/>
      <c r="AB45" s="4"/>
      <c r="AC45" s="20"/>
    </row>
    <row r="46" spans="1:29" x14ac:dyDescent="0.3">
      <c r="A46">
        <f t="shared" si="20"/>
        <v>19</v>
      </c>
      <c r="B46" t="str">
        <f t="shared" si="13"/>
        <v>Brian McGovern</v>
      </c>
      <c r="C46" s="14">
        <f>+C21-1</f>
        <v>4</v>
      </c>
      <c r="D46" s="14">
        <f>+D21</f>
        <v>5</v>
      </c>
      <c r="E46" s="14">
        <f>+E21</f>
        <v>5</v>
      </c>
      <c r="F46" s="14">
        <f t="shared" ref="F46:K46" si="41">+F21-1</f>
        <v>4</v>
      </c>
      <c r="G46" s="14">
        <f t="shared" si="41"/>
        <v>2</v>
      </c>
      <c r="H46" s="14">
        <f t="shared" si="41"/>
        <v>3</v>
      </c>
      <c r="I46" s="14">
        <f t="shared" si="41"/>
        <v>5</v>
      </c>
      <c r="J46" s="14">
        <f t="shared" si="41"/>
        <v>5</v>
      </c>
      <c r="K46" s="14">
        <f t="shared" si="41"/>
        <v>4</v>
      </c>
      <c r="L46" s="12">
        <f>SUM(C46:K46)</f>
        <v>37</v>
      </c>
      <c r="M46" s="14">
        <f>+M21-1</f>
        <v>4</v>
      </c>
      <c r="N46" s="14">
        <f>+N21</f>
        <v>4</v>
      </c>
      <c r="O46" s="14">
        <f>+O21</f>
        <v>4</v>
      </c>
      <c r="P46" s="14">
        <f t="shared" ref="P46:U46" si="42">+P21-1</f>
        <v>6</v>
      </c>
      <c r="Q46" s="14">
        <f t="shared" si="42"/>
        <v>3</v>
      </c>
      <c r="R46" s="14">
        <f t="shared" si="42"/>
        <v>4</v>
      </c>
      <c r="S46" s="14">
        <f t="shared" si="42"/>
        <v>4</v>
      </c>
      <c r="T46" s="14">
        <f t="shared" si="42"/>
        <v>4</v>
      </c>
      <c r="U46" s="14">
        <f t="shared" si="42"/>
        <v>4</v>
      </c>
      <c r="V46" s="12">
        <f t="shared" si="17"/>
        <v>37</v>
      </c>
      <c r="W46" s="12">
        <f t="shared" si="18"/>
        <v>74</v>
      </c>
      <c r="X46" s="4"/>
      <c r="Y46" s="4"/>
      <c r="Z46" s="18"/>
      <c r="AA46" s="20"/>
      <c r="AB46" s="4"/>
      <c r="AC46" s="20"/>
    </row>
    <row r="47" spans="1:29" x14ac:dyDescent="0.3">
      <c r="A47">
        <f t="shared" si="20"/>
        <v>20</v>
      </c>
      <c r="B47" t="str">
        <f t="shared" si="13"/>
        <v>Dave Keyser</v>
      </c>
      <c r="C47" s="14">
        <f>+C22-1</f>
        <v>4</v>
      </c>
      <c r="D47" s="14">
        <f>+D22-1</f>
        <v>4</v>
      </c>
      <c r="E47" s="14">
        <f>+E22-1</f>
        <v>4</v>
      </c>
      <c r="F47" s="14">
        <f>+F22-1</f>
        <v>8</v>
      </c>
      <c r="G47" s="14">
        <f>+G22-2</f>
        <v>2</v>
      </c>
      <c r="H47" s="14">
        <f>+H22-1</f>
        <v>4</v>
      </c>
      <c r="I47" s="14">
        <f>+I22-2</f>
        <v>5</v>
      </c>
      <c r="J47" s="14">
        <f>+J22-1</f>
        <v>5</v>
      </c>
      <c r="K47" s="14">
        <f>+K22-2</f>
        <v>3</v>
      </c>
      <c r="L47" s="12">
        <f>SUM(C47:K47)</f>
        <v>39</v>
      </c>
      <c r="M47" s="14">
        <f>+M22-1</f>
        <v>5</v>
      </c>
      <c r="N47" s="14">
        <f>+N22-1</f>
        <v>5</v>
      </c>
      <c r="O47" s="14">
        <f>+O22-1</f>
        <v>4</v>
      </c>
      <c r="P47" s="14">
        <f>+P22-1</f>
        <v>6</v>
      </c>
      <c r="Q47" s="14">
        <f>+Q22-2</f>
        <v>2</v>
      </c>
      <c r="R47" s="14">
        <f>+R22-1</f>
        <v>3</v>
      </c>
      <c r="S47" s="14">
        <f>+S22-2</f>
        <v>5</v>
      </c>
      <c r="T47" s="14">
        <f>+T22-1</f>
        <v>6</v>
      </c>
      <c r="U47" s="14">
        <f>+U22-2</f>
        <v>3</v>
      </c>
      <c r="V47" s="12">
        <f t="shared" si="17"/>
        <v>39</v>
      </c>
      <c r="W47" s="12">
        <f t="shared" si="18"/>
        <v>78</v>
      </c>
      <c r="X47" s="4"/>
      <c r="Y47" s="4"/>
      <c r="Z47" s="18"/>
      <c r="AA47" s="20"/>
      <c r="AB47" s="4"/>
      <c r="AC47" s="20"/>
    </row>
    <row r="48" spans="1:29" x14ac:dyDescent="0.3">
      <c r="A48">
        <f t="shared" si="20"/>
        <v>21</v>
      </c>
      <c r="B48" t="str">
        <f t="shared" si="13"/>
        <v>Jack Sullivan</v>
      </c>
      <c r="C48" s="14">
        <f>+C23-2</f>
        <v>5</v>
      </c>
      <c r="D48" s="14">
        <f>+D23-1</f>
        <v>3</v>
      </c>
      <c r="E48" s="14">
        <f>+E23-1</f>
        <v>5</v>
      </c>
      <c r="F48" s="14">
        <f>+F23-2</f>
        <v>5</v>
      </c>
      <c r="G48" s="14">
        <f>+G23-2</f>
        <v>3</v>
      </c>
      <c r="H48" s="14">
        <f>+H23-2</f>
        <v>2</v>
      </c>
      <c r="I48" s="14">
        <f>+I23-2</f>
        <v>7</v>
      </c>
      <c r="J48" s="14">
        <f>+J23-2</f>
        <v>3</v>
      </c>
      <c r="K48" s="14">
        <f>+K23-2</f>
        <v>5</v>
      </c>
      <c r="L48" s="12">
        <f t="shared" si="15"/>
        <v>38</v>
      </c>
      <c r="M48" s="14">
        <f>+M23-2</f>
        <v>4</v>
      </c>
      <c r="N48" s="14">
        <f>+N23-1</f>
        <v>5</v>
      </c>
      <c r="O48" s="14">
        <f>+O23-1</f>
        <v>6</v>
      </c>
      <c r="P48" s="14">
        <f>+P23-2</f>
        <v>7</v>
      </c>
      <c r="Q48" s="14">
        <f>+Q23-2</f>
        <v>1</v>
      </c>
      <c r="R48" s="14">
        <f>+R23-2</f>
        <v>3</v>
      </c>
      <c r="S48" s="14">
        <f>+S23-2</f>
        <v>4</v>
      </c>
      <c r="T48" s="14">
        <f>+T23-1</f>
        <v>7</v>
      </c>
      <c r="U48" s="14">
        <f>+U23-2</f>
        <v>3</v>
      </c>
      <c r="V48" s="12">
        <f t="shared" si="17"/>
        <v>40</v>
      </c>
      <c r="W48" s="12">
        <f t="shared" si="18"/>
        <v>78</v>
      </c>
      <c r="X48" s="4"/>
      <c r="Y48" s="4"/>
      <c r="Z48" s="18"/>
      <c r="AA48" s="20"/>
      <c r="AB48" s="4"/>
      <c r="AC48" s="20"/>
    </row>
    <row r="49" spans="1:29" x14ac:dyDescent="0.3">
      <c r="A49">
        <f t="shared" si="20"/>
        <v>22</v>
      </c>
      <c r="B49" t="str">
        <f t="shared" si="13"/>
        <v>Chris Flynn</v>
      </c>
      <c r="C49" s="14">
        <f>+C24-1</f>
        <v>4</v>
      </c>
      <c r="D49" s="14">
        <f>+D24-1</f>
        <v>6</v>
      </c>
      <c r="E49" s="14">
        <f>+E24-1</f>
        <v>4</v>
      </c>
      <c r="F49" s="14">
        <f>+F24-1</f>
        <v>6</v>
      </c>
      <c r="G49" s="14">
        <f>+G24-2</f>
        <v>2</v>
      </c>
      <c r="H49" s="14">
        <f>+H24-1</f>
        <v>3</v>
      </c>
      <c r="I49" s="14">
        <f>+I24-2</f>
        <v>3</v>
      </c>
      <c r="J49" s="14">
        <f>+J24-1</f>
        <v>6</v>
      </c>
      <c r="K49" s="14">
        <f>+K24-2</f>
        <v>2</v>
      </c>
      <c r="L49" s="12">
        <f t="shared" si="15"/>
        <v>36</v>
      </c>
      <c r="M49" s="14">
        <f>+M24-1</f>
        <v>4</v>
      </c>
      <c r="N49" s="14">
        <f>+N24-1</f>
        <v>4</v>
      </c>
      <c r="O49" s="14">
        <f>+O24-1</f>
        <v>5</v>
      </c>
      <c r="P49" s="14">
        <f>+P24-1</f>
        <v>7</v>
      </c>
      <c r="Q49" s="14">
        <f>+Q24-2</f>
        <v>1</v>
      </c>
      <c r="R49" s="14">
        <f>+R24-1</f>
        <v>6</v>
      </c>
      <c r="S49" s="14">
        <f>+S24-2</f>
        <v>2</v>
      </c>
      <c r="T49" s="14">
        <f>+T24-1</f>
        <v>4</v>
      </c>
      <c r="U49" s="14">
        <f>+U24-2</f>
        <v>2</v>
      </c>
      <c r="V49" s="12">
        <f t="shared" si="17"/>
        <v>35</v>
      </c>
      <c r="W49" s="12">
        <f t="shared" si="18"/>
        <v>71</v>
      </c>
      <c r="X49" s="4">
        <f>(0.5*5)-(0.5*10)</f>
        <v>-2.5</v>
      </c>
      <c r="Y49" s="4">
        <f>(0.5*7)-(0.5*7)</f>
        <v>0</v>
      </c>
      <c r="Z49" s="18">
        <f>(1*7)-(1*8)</f>
        <v>-1</v>
      </c>
      <c r="AA49" s="20">
        <f t="shared" si="12"/>
        <v>-3.5</v>
      </c>
      <c r="AB49" s="4">
        <v>-1.3</v>
      </c>
      <c r="AC49" s="20">
        <f t="shared" si="19"/>
        <v>-4.8</v>
      </c>
    </row>
    <row r="50" spans="1:29" x14ac:dyDescent="0.3">
      <c r="B50" s="1" t="s">
        <v>19</v>
      </c>
      <c r="L50" s="6"/>
      <c r="V50" s="6"/>
      <c r="W50" s="6"/>
      <c r="X50" s="4">
        <f t="shared" ref="X50:AC50" si="43">SUM(X28:X49)</f>
        <v>6.5</v>
      </c>
      <c r="Y50" s="4">
        <f t="shared" si="43"/>
        <v>-1.5</v>
      </c>
      <c r="Z50" s="4">
        <f t="shared" si="43"/>
        <v>11</v>
      </c>
      <c r="AA50" s="4">
        <f t="shared" si="43"/>
        <v>16</v>
      </c>
      <c r="AB50" s="4">
        <f t="shared" si="43"/>
        <v>3</v>
      </c>
      <c r="AC50" s="4">
        <f t="shared" si="43"/>
        <v>19</v>
      </c>
    </row>
    <row r="51" spans="1:29" x14ac:dyDescent="0.3">
      <c r="B51" t="str">
        <f>+B28</f>
        <v>Colin Sullivan</v>
      </c>
      <c r="C51">
        <v>4</v>
      </c>
      <c r="D51">
        <v>10</v>
      </c>
      <c r="E51">
        <v>0</v>
      </c>
      <c r="F51">
        <v>1</v>
      </c>
      <c r="G51">
        <v>9</v>
      </c>
      <c r="H51">
        <v>5</v>
      </c>
      <c r="I51">
        <v>2</v>
      </c>
      <c r="J51">
        <v>6</v>
      </c>
      <c r="K51">
        <v>2</v>
      </c>
      <c r="L51" s="6"/>
      <c r="M51">
        <v>11</v>
      </c>
      <c r="N51">
        <v>6</v>
      </c>
      <c r="O51">
        <v>1</v>
      </c>
      <c r="P51">
        <v>2</v>
      </c>
      <c r="Q51">
        <v>8</v>
      </c>
      <c r="R51">
        <v>8</v>
      </c>
      <c r="S51">
        <v>2</v>
      </c>
      <c r="T51">
        <v>9</v>
      </c>
      <c r="U51">
        <v>2</v>
      </c>
      <c r="V51" s="6"/>
      <c r="W51" s="6"/>
    </row>
    <row r="52" spans="1:29" x14ac:dyDescent="0.3">
      <c r="B52" t="str">
        <f t="shared" ref="B52:B72" si="44">+B29</f>
        <v>Bernie Sullivan</v>
      </c>
      <c r="C52">
        <v>14</v>
      </c>
      <c r="D52">
        <v>6</v>
      </c>
      <c r="E52">
        <v>6</v>
      </c>
      <c r="F52">
        <v>0</v>
      </c>
      <c r="G52">
        <v>9</v>
      </c>
      <c r="H52">
        <v>1</v>
      </c>
      <c r="I52">
        <v>2</v>
      </c>
      <c r="J52">
        <v>6</v>
      </c>
      <c r="K52">
        <v>0</v>
      </c>
      <c r="L52" s="6"/>
      <c r="M52">
        <v>6</v>
      </c>
      <c r="N52">
        <v>1</v>
      </c>
      <c r="O52">
        <v>10</v>
      </c>
      <c r="P52">
        <v>2</v>
      </c>
      <c r="Q52">
        <v>8</v>
      </c>
      <c r="R52">
        <v>2</v>
      </c>
      <c r="S52">
        <v>0</v>
      </c>
      <c r="T52">
        <v>4</v>
      </c>
      <c r="U52">
        <v>4</v>
      </c>
      <c r="V52" s="6"/>
      <c r="W52" s="6"/>
    </row>
    <row r="53" spans="1:29" x14ac:dyDescent="0.3">
      <c r="B53" t="str">
        <f t="shared" si="44"/>
        <v>Joe McCardel</v>
      </c>
      <c r="C53">
        <v>8</v>
      </c>
      <c r="D53">
        <v>0</v>
      </c>
      <c r="E53">
        <v>2</v>
      </c>
      <c r="F53">
        <v>1</v>
      </c>
      <c r="G53">
        <v>0</v>
      </c>
      <c r="H53">
        <f>+H51</f>
        <v>5</v>
      </c>
      <c r="I53">
        <v>2</v>
      </c>
      <c r="J53">
        <v>1</v>
      </c>
      <c r="K53">
        <v>10</v>
      </c>
      <c r="L53" s="6"/>
      <c r="M53">
        <v>1</v>
      </c>
      <c r="N53">
        <v>1</v>
      </c>
      <c r="O53">
        <v>0</v>
      </c>
      <c r="P53">
        <v>2</v>
      </c>
      <c r="Q53">
        <v>0</v>
      </c>
      <c r="R53">
        <v>4</v>
      </c>
      <c r="S53">
        <v>2</v>
      </c>
      <c r="T53">
        <v>4</v>
      </c>
      <c r="U53">
        <v>2</v>
      </c>
      <c r="V53" s="6"/>
      <c r="W53" s="6"/>
    </row>
    <row r="54" spans="1:29" x14ac:dyDescent="0.3">
      <c r="B54" t="str">
        <f t="shared" si="44"/>
        <v>Dave Brauer</v>
      </c>
      <c r="C54">
        <v>8</v>
      </c>
      <c r="D54">
        <v>6</v>
      </c>
      <c r="E54">
        <v>2</v>
      </c>
      <c r="F54">
        <v>1</v>
      </c>
      <c r="G54">
        <v>3</v>
      </c>
      <c r="H54">
        <v>2</v>
      </c>
      <c r="I54">
        <v>9</v>
      </c>
      <c r="J54">
        <v>1</v>
      </c>
      <c r="K54">
        <v>2</v>
      </c>
      <c r="L54" s="6"/>
      <c r="M54">
        <f>+M52</f>
        <v>6</v>
      </c>
      <c r="N54">
        <v>6</v>
      </c>
      <c r="O54">
        <v>6</v>
      </c>
      <c r="P54">
        <v>0</v>
      </c>
      <c r="Q54">
        <v>2</v>
      </c>
      <c r="R54">
        <v>4</v>
      </c>
      <c r="S54">
        <v>11</v>
      </c>
      <c r="T54">
        <v>9</v>
      </c>
      <c r="U54">
        <v>4</v>
      </c>
      <c r="V54" s="6"/>
      <c r="W54" s="6"/>
    </row>
    <row r="55" spans="1:29" x14ac:dyDescent="0.3">
      <c r="B55" t="str">
        <f t="shared" si="44"/>
        <v>John Sullivan</v>
      </c>
      <c r="C55">
        <v>8</v>
      </c>
      <c r="D55" s="7">
        <v>10</v>
      </c>
      <c r="E55">
        <v>6</v>
      </c>
      <c r="F55">
        <v>10</v>
      </c>
      <c r="G55">
        <v>9</v>
      </c>
      <c r="H55">
        <v>0</v>
      </c>
      <c r="I55">
        <v>2</v>
      </c>
      <c r="J55">
        <v>6</v>
      </c>
      <c r="K55">
        <v>10</v>
      </c>
      <c r="L55" s="6"/>
      <c r="M55">
        <f>+M53</f>
        <v>1</v>
      </c>
      <c r="N55">
        <v>11</v>
      </c>
      <c r="O55">
        <v>6</v>
      </c>
      <c r="P55">
        <v>2</v>
      </c>
      <c r="Q55">
        <v>2</v>
      </c>
      <c r="R55">
        <v>4</v>
      </c>
      <c r="S55">
        <v>10</v>
      </c>
      <c r="T55">
        <v>4</v>
      </c>
      <c r="U55">
        <v>4</v>
      </c>
      <c r="V55" s="6"/>
      <c r="W55" s="6"/>
    </row>
    <row r="56" spans="1:29" x14ac:dyDescent="0.3">
      <c r="B56" t="str">
        <f t="shared" si="44"/>
        <v>Ralph</v>
      </c>
      <c r="C56">
        <v>8</v>
      </c>
      <c r="D56">
        <v>4</v>
      </c>
      <c r="E56">
        <v>2</v>
      </c>
      <c r="F56">
        <v>10</v>
      </c>
      <c r="G56">
        <v>3</v>
      </c>
      <c r="H56">
        <f>+H53</f>
        <v>5</v>
      </c>
      <c r="I56">
        <v>0</v>
      </c>
      <c r="J56">
        <v>6</v>
      </c>
      <c r="K56">
        <v>2</v>
      </c>
      <c r="L56" s="6"/>
      <c r="M56">
        <f>+M54</f>
        <v>6</v>
      </c>
      <c r="N56">
        <v>0</v>
      </c>
      <c r="O56">
        <v>1</v>
      </c>
      <c r="P56">
        <v>2</v>
      </c>
      <c r="Q56">
        <v>2</v>
      </c>
      <c r="R56">
        <v>0</v>
      </c>
      <c r="S56">
        <v>0</v>
      </c>
      <c r="T56">
        <v>4</v>
      </c>
      <c r="U56">
        <v>1</v>
      </c>
      <c r="V56" s="6"/>
      <c r="W56" s="6"/>
    </row>
    <row r="57" spans="1:29" x14ac:dyDescent="0.3">
      <c r="B57" t="str">
        <f t="shared" si="44"/>
        <v>Leo</v>
      </c>
      <c r="C57">
        <v>15</v>
      </c>
      <c r="D57">
        <v>1</v>
      </c>
      <c r="E57">
        <v>6</v>
      </c>
      <c r="F57">
        <v>5</v>
      </c>
      <c r="G57">
        <v>1</v>
      </c>
      <c r="H57">
        <v>11</v>
      </c>
      <c r="I57">
        <v>0</v>
      </c>
      <c r="J57">
        <v>1</v>
      </c>
      <c r="K57">
        <v>2</v>
      </c>
      <c r="L57" s="6"/>
      <c r="M57">
        <v>1</v>
      </c>
      <c r="N57">
        <v>6</v>
      </c>
      <c r="O57">
        <v>1</v>
      </c>
      <c r="P57">
        <v>2</v>
      </c>
      <c r="Q57">
        <v>2</v>
      </c>
      <c r="R57">
        <v>8</v>
      </c>
      <c r="S57">
        <f>+S51</f>
        <v>2</v>
      </c>
      <c r="T57">
        <v>1</v>
      </c>
      <c r="U57">
        <v>11</v>
      </c>
      <c r="V57" s="6"/>
      <c r="W57" s="6"/>
    </row>
    <row r="58" spans="1:29" x14ac:dyDescent="0.3">
      <c r="B58" t="str">
        <f t="shared" si="44"/>
        <v>Matt Lawrence</v>
      </c>
      <c r="C58">
        <f>+C56</f>
        <v>8</v>
      </c>
      <c r="D58">
        <v>6</v>
      </c>
      <c r="E58">
        <v>6</v>
      </c>
      <c r="F58">
        <v>5</v>
      </c>
      <c r="G58">
        <v>2</v>
      </c>
      <c r="H58">
        <v>2</v>
      </c>
      <c r="I58">
        <v>9</v>
      </c>
      <c r="J58">
        <v>1</v>
      </c>
      <c r="K58">
        <v>2</v>
      </c>
      <c r="L58" s="6"/>
      <c r="M58">
        <f>+M56</f>
        <v>6</v>
      </c>
      <c r="N58">
        <v>6</v>
      </c>
      <c r="O58">
        <v>6</v>
      </c>
      <c r="P58">
        <v>2</v>
      </c>
      <c r="Q58">
        <v>0</v>
      </c>
      <c r="R58">
        <v>8</v>
      </c>
      <c r="S58">
        <v>2</v>
      </c>
      <c r="T58">
        <v>4</v>
      </c>
      <c r="U58">
        <v>4</v>
      </c>
      <c r="V58" s="6"/>
      <c r="W58" s="6"/>
    </row>
    <row r="59" spans="1:29" x14ac:dyDescent="0.3">
      <c r="B59" t="str">
        <f t="shared" si="44"/>
        <v>Jerry Flynn</v>
      </c>
      <c r="C59">
        <f>+C58</f>
        <v>8</v>
      </c>
      <c r="D59">
        <v>4</v>
      </c>
      <c r="E59">
        <v>0</v>
      </c>
      <c r="F59">
        <v>5</v>
      </c>
      <c r="G59">
        <v>3</v>
      </c>
      <c r="H59">
        <f>+H56</f>
        <v>5</v>
      </c>
      <c r="I59">
        <v>2</v>
      </c>
      <c r="J59">
        <v>6</v>
      </c>
      <c r="K59">
        <v>0</v>
      </c>
      <c r="L59" s="6"/>
      <c r="M59">
        <v>0</v>
      </c>
      <c r="N59">
        <v>1</v>
      </c>
      <c r="O59">
        <v>1</v>
      </c>
      <c r="P59">
        <v>2</v>
      </c>
      <c r="Q59">
        <v>2</v>
      </c>
      <c r="R59">
        <v>8</v>
      </c>
      <c r="S59">
        <v>2</v>
      </c>
      <c r="T59">
        <v>1</v>
      </c>
      <c r="U59">
        <v>4</v>
      </c>
      <c r="V59" s="6"/>
      <c r="W59" s="6"/>
    </row>
    <row r="60" spans="1:29" x14ac:dyDescent="0.3">
      <c r="B60" t="str">
        <f t="shared" si="44"/>
        <v>Mike Flynn</v>
      </c>
      <c r="C60">
        <v>4</v>
      </c>
      <c r="D60">
        <v>6</v>
      </c>
      <c r="E60">
        <v>6</v>
      </c>
      <c r="F60">
        <v>5</v>
      </c>
      <c r="G60">
        <v>3</v>
      </c>
      <c r="H60">
        <v>9</v>
      </c>
      <c r="I60">
        <v>2</v>
      </c>
      <c r="J60">
        <v>1</v>
      </c>
      <c r="K60">
        <v>2</v>
      </c>
      <c r="L60" s="6"/>
      <c r="M60">
        <v>1</v>
      </c>
      <c r="N60">
        <v>1</v>
      </c>
      <c r="O60">
        <v>6</v>
      </c>
      <c r="P60">
        <v>2</v>
      </c>
      <c r="Q60">
        <v>8</v>
      </c>
      <c r="R60">
        <v>8</v>
      </c>
      <c r="S60">
        <v>2</v>
      </c>
      <c r="T60">
        <v>1</v>
      </c>
      <c r="U60">
        <v>4</v>
      </c>
      <c r="V60" s="6"/>
      <c r="W60" s="6"/>
    </row>
    <row r="61" spans="1:29" x14ac:dyDescent="0.3">
      <c r="B61" t="str">
        <f t="shared" si="44"/>
        <v>Sean Flynn</v>
      </c>
      <c r="C61">
        <v>0</v>
      </c>
      <c r="D61">
        <v>1</v>
      </c>
      <c r="E61">
        <v>2</v>
      </c>
      <c r="F61">
        <v>1</v>
      </c>
      <c r="G61">
        <v>3</v>
      </c>
      <c r="H61">
        <f>+H54</f>
        <v>2</v>
      </c>
      <c r="I61">
        <v>2</v>
      </c>
      <c r="J61">
        <v>6</v>
      </c>
      <c r="K61">
        <v>2</v>
      </c>
      <c r="L61" s="6"/>
      <c r="M61">
        <f>+M58</f>
        <v>6</v>
      </c>
      <c r="N61">
        <v>6</v>
      </c>
      <c r="O61">
        <v>10</v>
      </c>
      <c r="P61">
        <v>2</v>
      </c>
      <c r="Q61">
        <v>8</v>
      </c>
      <c r="R61">
        <v>0</v>
      </c>
      <c r="S61">
        <v>2</v>
      </c>
      <c r="T61">
        <v>9</v>
      </c>
      <c r="U61">
        <v>0</v>
      </c>
      <c r="V61" s="6"/>
      <c r="W61" s="6"/>
    </row>
    <row r="62" spans="1:29" x14ac:dyDescent="0.3">
      <c r="B62" t="str">
        <f t="shared" si="44"/>
        <v>Kevin Fitzgerald</v>
      </c>
      <c r="C62">
        <v>4</v>
      </c>
      <c r="D62">
        <v>1</v>
      </c>
      <c r="E62">
        <v>11</v>
      </c>
      <c r="F62">
        <v>5</v>
      </c>
      <c r="G62">
        <v>3</v>
      </c>
      <c r="H62">
        <f>+H60</f>
        <v>9</v>
      </c>
      <c r="I62">
        <v>9</v>
      </c>
      <c r="J62">
        <v>0</v>
      </c>
      <c r="K62">
        <v>2</v>
      </c>
      <c r="L62" s="6"/>
      <c r="M62">
        <v>1</v>
      </c>
      <c r="N62">
        <v>1</v>
      </c>
      <c r="O62">
        <v>1</v>
      </c>
      <c r="P62">
        <v>0</v>
      </c>
      <c r="Q62">
        <v>2</v>
      </c>
      <c r="R62">
        <v>0</v>
      </c>
      <c r="S62">
        <v>2</v>
      </c>
      <c r="T62">
        <v>0</v>
      </c>
      <c r="U62">
        <v>4</v>
      </c>
      <c r="V62" s="6"/>
      <c r="W62" s="6"/>
    </row>
    <row r="63" spans="1:29" x14ac:dyDescent="0.3">
      <c r="B63" t="str">
        <f t="shared" si="44"/>
        <v>Richard McGovern</v>
      </c>
      <c r="C63">
        <v>1</v>
      </c>
      <c r="D63">
        <v>14</v>
      </c>
      <c r="E63">
        <v>9</v>
      </c>
      <c r="F63">
        <v>2</v>
      </c>
      <c r="G63">
        <v>2</v>
      </c>
      <c r="L63" s="6"/>
      <c r="V63" s="6"/>
      <c r="W63" s="6"/>
    </row>
    <row r="64" spans="1:29" x14ac:dyDescent="0.3">
      <c r="B64" t="str">
        <f t="shared" si="44"/>
        <v>Mike Fitzgerald</v>
      </c>
      <c r="C64">
        <v>1</v>
      </c>
      <c r="D64">
        <v>15</v>
      </c>
      <c r="E64">
        <v>0</v>
      </c>
      <c r="F64">
        <v>2</v>
      </c>
      <c r="G64">
        <v>2</v>
      </c>
      <c r="L64" s="6"/>
      <c r="V64" s="6"/>
      <c r="W64" s="6"/>
    </row>
    <row r="65" spans="2:23" x14ac:dyDescent="0.3">
      <c r="B65" t="str">
        <f t="shared" si="44"/>
        <v>Matt Brauer</v>
      </c>
      <c r="C65">
        <v>1</v>
      </c>
      <c r="D65">
        <v>1</v>
      </c>
      <c r="E65">
        <v>3</v>
      </c>
      <c r="F65">
        <v>2</v>
      </c>
      <c r="L65" s="6"/>
      <c r="V65" s="6"/>
      <c r="W65" s="6"/>
    </row>
    <row r="66" spans="2:23" x14ac:dyDescent="0.3">
      <c r="B66" t="str">
        <f t="shared" si="44"/>
        <v>Blake Dougan</v>
      </c>
      <c r="L66" s="6"/>
      <c r="V66" s="6"/>
      <c r="W66" s="6"/>
    </row>
    <row r="67" spans="2:23" x14ac:dyDescent="0.3">
      <c r="B67" t="str">
        <f t="shared" si="44"/>
        <v>Mike Dougan</v>
      </c>
      <c r="L67" s="6"/>
      <c r="V67" s="6"/>
      <c r="W67" s="6"/>
    </row>
    <row r="68" spans="2:23" x14ac:dyDescent="0.3">
      <c r="B68" t="str">
        <f t="shared" si="44"/>
        <v>TJ Williams</v>
      </c>
      <c r="L68" s="6"/>
      <c r="V68" s="6"/>
      <c r="W68" s="6"/>
    </row>
    <row r="69" spans="2:23" x14ac:dyDescent="0.3">
      <c r="B69" t="str">
        <f t="shared" si="44"/>
        <v>Brian McGovern</v>
      </c>
      <c r="L69" s="6"/>
      <c r="V69" s="6"/>
      <c r="W69" s="6"/>
    </row>
    <row r="70" spans="2:23" x14ac:dyDescent="0.3">
      <c r="B70" t="str">
        <f t="shared" si="44"/>
        <v>Dave Keyser</v>
      </c>
      <c r="C70">
        <f>+C60</f>
        <v>4</v>
      </c>
      <c r="D70">
        <v>6</v>
      </c>
      <c r="E70">
        <v>14</v>
      </c>
      <c r="F70">
        <v>0</v>
      </c>
      <c r="L70" s="6"/>
      <c r="V70" s="6"/>
      <c r="W70" s="6"/>
    </row>
    <row r="71" spans="2:23" x14ac:dyDescent="0.3">
      <c r="B71" t="str">
        <f t="shared" si="44"/>
        <v>Jack Sullivan</v>
      </c>
      <c r="L71" s="6"/>
      <c r="V71" s="6"/>
      <c r="W71" s="6"/>
    </row>
    <row r="72" spans="2:23" x14ac:dyDescent="0.3">
      <c r="B72" t="str">
        <f t="shared" si="44"/>
        <v>Chris Flynn</v>
      </c>
      <c r="L72" s="6"/>
      <c r="V72" s="6"/>
      <c r="W72" s="6"/>
    </row>
    <row r="73" spans="2:23" x14ac:dyDescent="0.3">
      <c r="C73">
        <f>SUM(C51:C72)</f>
        <v>96</v>
      </c>
      <c r="D73">
        <f t="shared" ref="D73:K73" si="45">SUM(D51:D72)</f>
        <v>91</v>
      </c>
      <c r="E73">
        <f t="shared" si="45"/>
        <v>75</v>
      </c>
      <c r="F73">
        <f t="shared" si="45"/>
        <v>55</v>
      </c>
      <c r="G73">
        <f t="shared" si="45"/>
        <v>52</v>
      </c>
      <c r="H73">
        <f t="shared" si="45"/>
        <v>56</v>
      </c>
      <c r="I73">
        <f t="shared" si="45"/>
        <v>41</v>
      </c>
      <c r="J73">
        <f t="shared" si="45"/>
        <v>41</v>
      </c>
      <c r="K73">
        <f t="shared" si="45"/>
        <v>36</v>
      </c>
      <c r="L73" s="6"/>
      <c r="M73">
        <f t="shared" ref="M73:U73" si="46">SUM(M51:M72)</f>
        <v>46</v>
      </c>
      <c r="N73">
        <f t="shared" si="46"/>
        <v>46</v>
      </c>
      <c r="O73">
        <f t="shared" si="46"/>
        <v>49</v>
      </c>
      <c r="P73">
        <f t="shared" si="46"/>
        <v>20</v>
      </c>
      <c r="Q73">
        <f t="shared" si="46"/>
        <v>44</v>
      </c>
      <c r="R73">
        <f t="shared" si="46"/>
        <v>54</v>
      </c>
      <c r="S73">
        <f t="shared" si="46"/>
        <v>37</v>
      </c>
      <c r="T73">
        <f t="shared" si="46"/>
        <v>50</v>
      </c>
      <c r="U73">
        <f t="shared" si="46"/>
        <v>44</v>
      </c>
      <c r="V73" s="6"/>
      <c r="W73" s="6"/>
    </row>
    <row r="74" spans="2:23" x14ac:dyDescent="0.3">
      <c r="B74" s="1" t="s">
        <v>20</v>
      </c>
      <c r="L74" s="6"/>
      <c r="V74" s="6"/>
      <c r="W74" s="6"/>
    </row>
    <row r="75" spans="2:23" x14ac:dyDescent="0.3">
      <c r="B75" t="str">
        <f>+B51</f>
        <v>Colin Sullivan</v>
      </c>
      <c r="C75" s="5">
        <v>-8</v>
      </c>
      <c r="D75" s="5">
        <v>0</v>
      </c>
      <c r="E75" s="5">
        <v>-10</v>
      </c>
      <c r="F75" s="5">
        <v>-7</v>
      </c>
      <c r="G75" s="5">
        <v>0</v>
      </c>
      <c r="H75" s="5">
        <v>-3</v>
      </c>
      <c r="I75" s="5">
        <v>-3</v>
      </c>
      <c r="J75" s="5">
        <v>0</v>
      </c>
      <c r="K75" s="5">
        <v>-2</v>
      </c>
      <c r="L75" s="12"/>
      <c r="M75" s="5">
        <v>0</v>
      </c>
      <c r="N75" s="5">
        <v>-1</v>
      </c>
      <c r="O75" s="5">
        <v>-6</v>
      </c>
      <c r="P75" s="5">
        <v>0</v>
      </c>
      <c r="Q75" s="5">
        <v>0</v>
      </c>
      <c r="R75" s="5">
        <v>0</v>
      </c>
      <c r="S75" s="5">
        <v>-2</v>
      </c>
      <c r="T75" s="5">
        <v>0</v>
      </c>
      <c r="U75" s="5">
        <v>-8</v>
      </c>
      <c r="V75" s="12"/>
      <c r="W75" s="12"/>
    </row>
    <row r="76" spans="2:23" x14ac:dyDescent="0.3">
      <c r="B76" t="str">
        <f t="shared" ref="B76:B96" si="47">+B52</f>
        <v>Bernie Sullivan</v>
      </c>
      <c r="C76" s="5">
        <v>-1</v>
      </c>
      <c r="D76" s="5">
        <v>-2</v>
      </c>
      <c r="E76" s="5">
        <v>-1</v>
      </c>
      <c r="F76" s="5">
        <v>-11</v>
      </c>
      <c r="G76" s="5">
        <v>0</v>
      </c>
      <c r="H76" s="5">
        <v>-10</v>
      </c>
      <c r="I76" s="5">
        <v>-3</v>
      </c>
      <c r="J76" s="5">
        <v>0</v>
      </c>
      <c r="K76" s="5">
        <v>-10</v>
      </c>
      <c r="L76" s="12"/>
      <c r="M76" s="5">
        <v>-1</v>
      </c>
      <c r="N76" s="5">
        <v>-6</v>
      </c>
      <c r="O76" s="5">
        <v>0</v>
      </c>
      <c r="P76" s="5">
        <v>0</v>
      </c>
      <c r="Q76" s="5">
        <v>0</v>
      </c>
      <c r="R76" s="5">
        <v>-9</v>
      </c>
      <c r="S76" s="5">
        <v>-10</v>
      </c>
      <c r="T76" s="5">
        <v>-3</v>
      </c>
      <c r="U76" s="5">
        <v>-1</v>
      </c>
      <c r="V76" s="12"/>
      <c r="W76" s="12"/>
    </row>
    <row r="77" spans="2:23" x14ac:dyDescent="0.3">
      <c r="B77" t="str">
        <f t="shared" si="47"/>
        <v>Joe McCardel</v>
      </c>
      <c r="C77" s="5">
        <v>-2</v>
      </c>
      <c r="D77" s="5">
        <v>-11</v>
      </c>
      <c r="E77" s="5">
        <v>-6</v>
      </c>
      <c r="F77" s="5">
        <v>-7</v>
      </c>
      <c r="G77" s="5">
        <v>-11</v>
      </c>
      <c r="H77" s="5">
        <f>+H75</f>
        <v>-3</v>
      </c>
      <c r="I77" s="5">
        <v>-3</v>
      </c>
      <c r="J77" s="5">
        <v>-6</v>
      </c>
      <c r="K77" s="5">
        <v>0</v>
      </c>
      <c r="L77" s="12"/>
      <c r="M77" s="5">
        <v>-6</v>
      </c>
      <c r="N77" s="5">
        <f>+N76</f>
        <v>-6</v>
      </c>
      <c r="O77" s="5">
        <v>-11</v>
      </c>
      <c r="P77" s="5">
        <v>0</v>
      </c>
      <c r="Q77" s="5">
        <v>-10</v>
      </c>
      <c r="R77" s="5">
        <v>-4</v>
      </c>
      <c r="S77" s="5">
        <v>-2</v>
      </c>
      <c r="T77" s="5">
        <v>-3</v>
      </c>
      <c r="U77" s="5">
        <v>-8</v>
      </c>
      <c r="V77" s="12"/>
      <c r="W77" s="12"/>
    </row>
    <row r="78" spans="2:23" x14ac:dyDescent="0.3">
      <c r="B78" t="str">
        <f t="shared" si="47"/>
        <v>Dave Brauer</v>
      </c>
      <c r="C78" s="5">
        <v>-2</v>
      </c>
      <c r="D78" s="5">
        <v>-2</v>
      </c>
      <c r="E78" s="5">
        <v>-6</v>
      </c>
      <c r="F78" s="5">
        <v>-7</v>
      </c>
      <c r="G78" s="5">
        <v>-3</v>
      </c>
      <c r="H78" s="5">
        <v>-7</v>
      </c>
      <c r="I78" s="5">
        <v>0</v>
      </c>
      <c r="J78" s="5">
        <v>-6</v>
      </c>
      <c r="K78" s="5">
        <v>-2</v>
      </c>
      <c r="L78" s="12"/>
      <c r="M78" s="5">
        <f>+M76</f>
        <v>-1</v>
      </c>
      <c r="N78" s="5">
        <f>+N75</f>
        <v>-1</v>
      </c>
      <c r="O78" s="5">
        <v>-2</v>
      </c>
      <c r="P78" s="5">
        <v>-10</v>
      </c>
      <c r="Q78" s="5">
        <v>-4</v>
      </c>
      <c r="R78" s="5">
        <v>-4</v>
      </c>
      <c r="S78" s="5">
        <v>0</v>
      </c>
      <c r="T78" s="5">
        <v>0</v>
      </c>
      <c r="U78" s="5">
        <v>-1</v>
      </c>
      <c r="V78" s="12"/>
      <c r="W78" s="12"/>
    </row>
    <row r="79" spans="2:23" x14ac:dyDescent="0.3">
      <c r="B79" t="str">
        <f t="shared" si="47"/>
        <v>John Sullivan</v>
      </c>
      <c r="C79" s="5">
        <v>-2</v>
      </c>
      <c r="D79" s="5">
        <v>0</v>
      </c>
      <c r="E79" s="5">
        <v>-1</v>
      </c>
      <c r="F79" s="5">
        <v>0</v>
      </c>
      <c r="G79" s="5">
        <v>0</v>
      </c>
      <c r="H79" s="5">
        <v>-11</v>
      </c>
      <c r="I79" s="5">
        <v>-3</v>
      </c>
      <c r="J79" s="5">
        <v>0</v>
      </c>
      <c r="K79" s="5">
        <v>0</v>
      </c>
      <c r="L79" s="12"/>
      <c r="M79" s="5">
        <f>+M77</f>
        <v>-6</v>
      </c>
      <c r="N79" s="5">
        <v>0</v>
      </c>
      <c r="O79" s="5">
        <v>-2</v>
      </c>
      <c r="P79" s="5">
        <v>0</v>
      </c>
      <c r="Q79" s="5">
        <v>-4</v>
      </c>
      <c r="R79" s="5">
        <v>-4</v>
      </c>
      <c r="S79" s="5">
        <v>-1</v>
      </c>
      <c r="T79" s="5">
        <v>-3</v>
      </c>
      <c r="U79" s="5">
        <v>-1</v>
      </c>
      <c r="V79" s="12"/>
      <c r="W79" s="12"/>
    </row>
    <row r="80" spans="2:23" x14ac:dyDescent="0.3">
      <c r="B80" t="str">
        <f t="shared" si="47"/>
        <v>Ralph</v>
      </c>
      <c r="C80" s="5">
        <v>-2</v>
      </c>
      <c r="D80" s="5">
        <v>-6</v>
      </c>
      <c r="E80" s="5">
        <v>-6</v>
      </c>
      <c r="F80" s="5">
        <v>0</v>
      </c>
      <c r="G80" s="5">
        <v>-3</v>
      </c>
      <c r="H80" s="5">
        <f>+H77</f>
        <v>-3</v>
      </c>
      <c r="I80" s="5">
        <v>-10</v>
      </c>
      <c r="J80" s="5">
        <v>0</v>
      </c>
      <c r="K80" s="5">
        <v>-2</v>
      </c>
      <c r="L80" s="12"/>
      <c r="M80" s="5">
        <f>+M76</f>
        <v>-1</v>
      </c>
      <c r="N80" s="5">
        <v>-11</v>
      </c>
      <c r="O80" s="5">
        <v>-6</v>
      </c>
      <c r="P80" s="5">
        <v>0</v>
      </c>
      <c r="Q80" s="5">
        <v>-4</v>
      </c>
      <c r="R80" s="5">
        <v>-10</v>
      </c>
      <c r="S80" s="5">
        <v>-10</v>
      </c>
      <c r="T80" s="5">
        <v>-3</v>
      </c>
      <c r="U80" s="5">
        <v>-10</v>
      </c>
      <c r="V80" s="12"/>
      <c r="W80" s="12"/>
    </row>
    <row r="81" spans="2:23" x14ac:dyDescent="0.3">
      <c r="B81" t="str">
        <f t="shared" si="47"/>
        <v>Leo</v>
      </c>
      <c r="C81" s="5">
        <v>0</v>
      </c>
      <c r="D81" s="5">
        <v>-8</v>
      </c>
      <c r="E81" s="5">
        <v>-1</v>
      </c>
      <c r="F81" s="5">
        <v>-2</v>
      </c>
      <c r="G81" s="5">
        <v>-10</v>
      </c>
      <c r="H81" s="5">
        <v>0</v>
      </c>
      <c r="I81" s="5">
        <f>+I80</f>
        <v>-10</v>
      </c>
      <c r="J81" s="5">
        <v>-6</v>
      </c>
      <c r="K81" s="5">
        <v>-2</v>
      </c>
      <c r="L81" s="12"/>
      <c r="M81" s="5">
        <f>+M77</f>
        <v>-6</v>
      </c>
      <c r="N81" s="5">
        <f>+N75</f>
        <v>-1</v>
      </c>
      <c r="O81" s="5">
        <v>-6</v>
      </c>
      <c r="P81" s="5">
        <v>0</v>
      </c>
      <c r="Q81" s="5">
        <v>-4</v>
      </c>
      <c r="R81" s="5">
        <v>0</v>
      </c>
      <c r="S81" s="5">
        <v>-2</v>
      </c>
      <c r="T81" s="5">
        <v>-8</v>
      </c>
      <c r="U81" s="5">
        <v>0</v>
      </c>
      <c r="V81" s="12"/>
      <c r="W81" s="12"/>
    </row>
    <row r="82" spans="2:23" x14ac:dyDescent="0.3">
      <c r="B82" t="str">
        <f t="shared" si="47"/>
        <v>Matt Lawrence</v>
      </c>
      <c r="C82" s="5">
        <v>-4</v>
      </c>
      <c r="D82" s="5">
        <v>-2</v>
      </c>
      <c r="E82" s="5">
        <v>-1</v>
      </c>
      <c r="F82" s="5">
        <v>-2</v>
      </c>
      <c r="G82" s="5">
        <v>-9</v>
      </c>
      <c r="H82" s="5">
        <f>+H78</f>
        <v>-7</v>
      </c>
      <c r="I82" s="5">
        <v>0</v>
      </c>
      <c r="J82" s="5">
        <v>-6</v>
      </c>
      <c r="K82" s="5">
        <v>-2</v>
      </c>
      <c r="L82" s="12"/>
      <c r="M82" s="5">
        <f>+M76</f>
        <v>-1</v>
      </c>
      <c r="N82" s="5">
        <f>+N81</f>
        <v>-1</v>
      </c>
      <c r="O82" s="5">
        <f>+O79</f>
        <v>-2</v>
      </c>
      <c r="P82" s="5">
        <v>0</v>
      </c>
      <c r="Q82" s="5">
        <v>-10</v>
      </c>
      <c r="R82" s="5">
        <v>0</v>
      </c>
      <c r="S82" s="5">
        <v>-2</v>
      </c>
      <c r="T82" s="5">
        <v>-3</v>
      </c>
      <c r="U82" s="5">
        <v>-1</v>
      </c>
      <c r="V82" s="12"/>
      <c r="W82" s="12"/>
    </row>
    <row r="83" spans="2:23" x14ac:dyDescent="0.3">
      <c r="B83" t="str">
        <f t="shared" si="47"/>
        <v>Jerry Flynn</v>
      </c>
      <c r="C83" s="5">
        <v>-2</v>
      </c>
      <c r="D83" s="5">
        <v>-6</v>
      </c>
      <c r="E83" s="5">
        <v>-10</v>
      </c>
      <c r="F83" s="5">
        <v>-2</v>
      </c>
      <c r="G83" s="5">
        <v>-3</v>
      </c>
      <c r="H83" s="5">
        <f>+H80</f>
        <v>-3</v>
      </c>
      <c r="I83" s="5">
        <v>-3</v>
      </c>
      <c r="J83" s="5">
        <v>0</v>
      </c>
      <c r="K83" s="5">
        <v>-10</v>
      </c>
      <c r="L83" s="12"/>
      <c r="M83" s="5">
        <v>-11</v>
      </c>
      <c r="N83" s="5">
        <f>+N76</f>
        <v>-6</v>
      </c>
      <c r="O83" s="5">
        <f>+O75</f>
        <v>-6</v>
      </c>
      <c r="P83" s="5">
        <v>0</v>
      </c>
      <c r="Q83" s="5">
        <v>-4</v>
      </c>
      <c r="R83" s="5">
        <v>0</v>
      </c>
      <c r="S83" s="5">
        <v>-2</v>
      </c>
      <c r="T83" s="5">
        <v>-8</v>
      </c>
      <c r="U83" s="5">
        <v>-1</v>
      </c>
      <c r="V83" s="12"/>
      <c r="W83" s="12"/>
    </row>
    <row r="84" spans="2:23" x14ac:dyDescent="0.3">
      <c r="B84" t="str">
        <f t="shared" si="47"/>
        <v>Mike Flynn</v>
      </c>
      <c r="C84" s="5">
        <v>-8</v>
      </c>
      <c r="D84" s="5">
        <v>-2</v>
      </c>
      <c r="E84" s="5">
        <v>-1</v>
      </c>
      <c r="F84" s="5">
        <v>-2</v>
      </c>
      <c r="G84" s="5">
        <v>-3</v>
      </c>
      <c r="H84" s="5">
        <v>-1</v>
      </c>
      <c r="I84" s="5">
        <v>-3</v>
      </c>
      <c r="J84" s="5">
        <v>-6</v>
      </c>
      <c r="K84" s="5">
        <v>-2</v>
      </c>
      <c r="L84" s="12"/>
      <c r="M84" s="5">
        <f>+M81</f>
        <v>-6</v>
      </c>
      <c r="N84" s="5">
        <f>+N83</f>
        <v>-6</v>
      </c>
      <c r="O84" s="5">
        <f>+O82</f>
        <v>-2</v>
      </c>
      <c r="P84" s="5">
        <v>0</v>
      </c>
      <c r="Q84" s="5">
        <v>0</v>
      </c>
      <c r="R84" s="5">
        <v>-4</v>
      </c>
      <c r="S84" s="5">
        <v>-2</v>
      </c>
      <c r="T84" s="5">
        <v>-8</v>
      </c>
      <c r="U84" s="5">
        <v>-1</v>
      </c>
      <c r="V84" s="12"/>
      <c r="W84" s="12"/>
    </row>
    <row r="85" spans="2:23" x14ac:dyDescent="0.3">
      <c r="B85" t="str">
        <f t="shared" si="47"/>
        <v>Sean Flynn</v>
      </c>
      <c r="C85" s="5">
        <v>-15</v>
      </c>
      <c r="D85" s="5">
        <v>-8</v>
      </c>
      <c r="E85" s="5">
        <v>-6</v>
      </c>
      <c r="F85" s="5">
        <v>-7</v>
      </c>
      <c r="G85" s="5">
        <v>-3</v>
      </c>
      <c r="H85" s="5">
        <f>+H78</f>
        <v>-7</v>
      </c>
      <c r="I85" s="5">
        <v>-3</v>
      </c>
      <c r="J85" s="5">
        <v>0</v>
      </c>
      <c r="K85" s="5">
        <v>-2</v>
      </c>
      <c r="L85" s="12"/>
      <c r="M85" s="5">
        <f>+M82</f>
        <v>-1</v>
      </c>
      <c r="N85" s="5">
        <f>+N82</f>
        <v>-1</v>
      </c>
      <c r="O85" s="5">
        <v>0</v>
      </c>
      <c r="P85" s="5">
        <v>0</v>
      </c>
      <c r="Q85" s="5">
        <v>0</v>
      </c>
      <c r="R85" s="5">
        <v>-10</v>
      </c>
      <c r="S85" s="5">
        <v>-2</v>
      </c>
      <c r="T85" s="5">
        <v>0</v>
      </c>
      <c r="U85" s="5">
        <v>-11</v>
      </c>
      <c r="V85" s="12"/>
      <c r="W85" s="12"/>
    </row>
    <row r="86" spans="2:23" x14ac:dyDescent="0.3">
      <c r="B86" t="str">
        <f t="shared" si="47"/>
        <v>Kevin Fitzgerald</v>
      </c>
      <c r="C86" s="5">
        <v>-8</v>
      </c>
      <c r="D86" s="5">
        <v>-8</v>
      </c>
      <c r="E86" s="5">
        <v>0</v>
      </c>
      <c r="F86" s="5">
        <v>-2</v>
      </c>
      <c r="G86" s="5">
        <v>-3</v>
      </c>
      <c r="H86" s="5">
        <f>+H84</f>
        <v>-1</v>
      </c>
      <c r="I86" s="5">
        <v>0</v>
      </c>
      <c r="J86" s="5">
        <v>-11</v>
      </c>
      <c r="K86" s="5">
        <v>-2</v>
      </c>
      <c r="L86" s="12"/>
      <c r="M86" s="5">
        <f>+M84</f>
        <v>-6</v>
      </c>
      <c r="N86" s="5">
        <f>+N84</f>
        <v>-6</v>
      </c>
      <c r="O86" s="5">
        <f>+O81</f>
        <v>-6</v>
      </c>
      <c r="P86" s="5">
        <v>-10</v>
      </c>
      <c r="Q86" s="5">
        <v>-4</v>
      </c>
      <c r="R86" s="5">
        <v>-9</v>
      </c>
      <c r="S86" s="5">
        <v>-2</v>
      </c>
      <c r="T86" s="5">
        <v>-11</v>
      </c>
      <c r="U86" s="5">
        <v>-1</v>
      </c>
      <c r="V86" s="12"/>
      <c r="W86" s="12"/>
    </row>
    <row r="87" spans="2:23" x14ac:dyDescent="0.3">
      <c r="B87" t="str">
        <f t="shared" si="47"/>
        <v>Richard McGovern</v>
      </c>
      <c r="C87" s="5"/>
      <c r="D87" s="5"/>
      <c r="E87" s="5"/>
      <c r="F87" s="5"/>
      <c r="G87" s="5"/>
      <c r="H87" s="5"/>
      <c r="I87" s="5"/>
      <c r="J87" s="5"/>
      <c r="K87" s="5"/>
      <c r="L87" s="12"/>
      <c r="M87" s="5"/>
      <c r="N87" s="5"/>
      <c r="O87" s="5"/>
      <c r="P87" s="5"/>
      <c r="Q87" s="5"/>
      <c r="R87" s="5"/>
      <c r="S87" s="5"/>
      <c r="T87" s="5"/>
      <c r="U87" s="5"/>
      <c r="V87" s="12"/>
      <c r="W87" s="12"/>
    </row>
    <row r="88" spans="2:23" x14ac:dyDescent="0.3">
      <c r="B88" t="str">
        <f t="shared" si="47"/>
        <v>Mike Fitzgerald</v>
      </c>
      <c r="C88" s="5"/>
      <c r="D88" s="5"/>
      <c r="E88" s="5"/>
      <c r="F88" s="5"/>
      <c r="G88" s="5"/>
      <c r="H88" s="5"/>
      <c r="I88" s="5"/>
      <c r="J88" s="5"/>
      <c r="K88" s="5"/>
      <c r="L88" s="12"/>
      <c r="M88" s="5"/>
      <c r="N88" s="5"/>
      <c r="O88" s="5"/>
      <c r="P88" s="5"/>
      <c r="Q88" s="5"/>
      <c r="R88" s="5"/>
      <c r="S88" s="5"/>
      <c r="T88" s="5"/>
      <c r="U88" s="5"/>
      <c r="V88" s="12"/>
      <c r="W88" s="12"/>
    </row>
    <row r="89" spans="2:23" x14ac:dyDescent="0.3">
      <c r="B89" t="str">
        <f t="shared" si="47"/>
        <v>Matt Brauer</v>
      </c>
      <c r="C89" s="5"/>
      <c r="D89" s="5"/>
      <c r="E89" s="5"/>
      <c r="F89" s="5"/>
      <c r="G89" s="5"/>
      <c r="H89" s="5"/>
      <c r="I89" s="5"/>
      <c r="J89" s="5"/>
      <c r="K89" s="5"/>
      <c r="L89" s="12"/>
      <c r="M89" s="5"/>
      <c r="N89" s="5"/>
      <c r="O89" s="5"/>
      <c r="P89" s="5"/>
      <c r="Q89" s="5"/>
      <c r="R89" s="5"/>
      <c r="S89" s="5"/>
      <c r="T89" s="5"/>
      <c r="U89" s="5"/>
      <c r="V89" s="12"/>
      <c r="W89" s="12"/>
    </row>
    <row r="90" spans="2:23" x14ac:dyDescent="0.3">
      <c r="B90" t="str">
        <f t="shared" si="47"/>
        <v>Blake Dougan</v>
      </c>
      <c r="C90" s="5"/>
      <c r="D90" s="5"/>
      <c r="E90" s="5"/>
      <c r="F90" s="5"/>
      <c r="G90" s="5"/>
      <c r="H90" s="5"/>
      <c r="I90" s="5"/>
      <c r="J90" s="5"/>
      <c r="K90" s="5"/>
      <c r="L90" s="12"/>
      <c r="M90" s="5"/>
      <c r="N90" s="5"/>
      <c r="O90" s="5"/>
      <c r="P90" s="5"/>
      <c r="Q90" s="5"/>
      <c r="R90" s="5"/>
      <c r="S90" s="5"/>
      <c r="T90" s="5"/>
      <c r="U90" s="5"/>
      <c r="V90" s="12"/>
      <c r="W90" s="12"/>
    </row>
    <row r="91" spans="2:23" x14ac:dyDescent="0.3">
      <c r="B91" t="str">
        <f t="shared" si="47"/>
        <v>Mike Dougan</v>
      </c>
      <c r="C91" s="5"/>
      <c r="D91" s="5"/>
      <c r="E91" s="5"/>
      <c r="F91" s="5"/>
      <c r="G91" s="5"/>
      <c r="H91" s="5"/>
      <c r="I91" s="5"/>
      <c r="J91" s="5"/>
      <c r="K91" s="5"/>
      <c r="L91" s="12"/>
      <c r="M91" s="5"/>
      <c r="N91" s="5"/>
      <c r="O91" s="5"/>
      <c r="P91" s="5"/>
      <c r="Q91" s="5"/>
      <c r="R91" s="5"/>
      <c r="S91" s="5"/>
      <c r="T91" s="5"/>
      <c r="U91" s="5"/>
      <c r="V91" s="12"/>
      <c r="W91" s="12"/>
    </row>
    <row r="92" spans="2:23" x14ac:dyDescent="0.3">
      <c r="B92" t="str">
        <f t="shared" si="47"/>
        <v>TJ Williams</v>
      </c>
      <c r="C92" s="5"/>
      <c r="D92" s="5"/>
      <c r="E92" s="5"/>
      <c r="F92" s="5"/>
      <c r="G92" s="5"/>
      <c r="H92" s="5"/>
      <c r="I92" s="5"/>
      <c r="J92" s="5"/>
      <c r="K92" s="5"/>
      <c r="L92" s="12"/>
      <c r="M92" s="5"/>
      <c r="N92" s="5"/>
      <c r="O92" s="5"/>
      <c r="P92" s="5"/>
      <c r="Q92" s="5"/>
      <c r="R92" s="5"/>
      <c r="S92" s="5"/>
      <c r="T92" s="5"/>
      <c r="U92" s="5"/>
      <c r="V92" s="12"/>
      <c r="W92" s="12"/>
    </row>
    <row r="93" spans="2:23" x14ac:dyDescent="0.3">
      <c r="B93" t="str">
        <f t="shared" si="47"/>
        <v>Brian McGovern</v>
      </c>
      <c r="C93" s="5">
        <v>-12</v>
      </c>
      <c r="D93" s="5"/>
      <c r="E93" s="5"/>
      <c r="F93" s="5"/>
      <c r="G93" s="5"/>
      <c r="H93" s="5"/>
      <c r="I93" s="5"/>
      <c r="J93" s="5"/>
      <c r="K93" s="5"/>
      <c r="L93" s="12"/>
      <c r="M93" s="5"/>
      <c r="N93" s="5"/>
      <c r="O93" s="5"/>
      <c r="P93" s="5"/>
      <c r="Q93" s="5"/>
      <c r="R93" s="5"/>
      <c r="S93" s="5"/>
      <c r="T93" s="5"/>
      <c r="U93" s="5"/>
      <c r="V93" s="12"/>
      <c r="W93" s="12"/>
    </row>
    <row r="94" spans="2:23" x14ac:dyDescent="0.3">
      <c r="B94" t="str">
        <f t="shared" si="47"/>
        <v>Dave Keyser</v>
      </c>
      <c r="C94" s="5">
        <v>-12</v>
      </c>
      <c r="D94" s="5"/>
      <c r="E94" s="5"/>
      <c r="F94" s="5"/>
      <c r="G94" s="5"/>
      <c r="H94" s="5"/>
      <c r="I94" s="5"/>
      <c r="J94" s="5"/>
      <c r="K94" s="5"/>
      <c r="L94" s="12"/>
      <c r="M94" s="5"/>
      <c r="N94" s="5"/>
      <c r="O94" s="5"/>
      <c r="P94" s="5"/>
      <c r="Q94" s="5"/>
      <c r="R94" s="5"/>
      <c r="S94" s="5"/>
      <c r="T94" s="5"/>
      <c r="U94" s="5"/>
      <c r="V94" s="12"/>
      <c r="W94" s="12"/>
    </row>
    <row r="95" spans="2:23" x14ac:dyDescent="0.3">
      <c r="B95" t="str">
        <f t="shared" si="47"/>
        <v>Jack Sullivan</v>
      </c>
      <c r="C95" s="5">
        <v>-12</v>
      </c>
      <c r="D95" s="5"/>
      <c r="E95" s="5"/>
      <c r="F95" s="5"/>
      <c r="G95" s="5"/>
      <c r="H95" s="5"/>
      <c r="I95" s="5"/>
      <c r="J95" s="5"/>
      <c r="K95" s="5"/>
      <c r="L95" s="12"/>
      <c r="M95" s="5"/>
      <c r="N95" s="5"/>
      <c r="O95" s="5"/>
      <c r="P95" s="5"/>
      <c r="Q95" s="5"/>
      <c r="R95" s="5"/>
      <c r="S95" s="5"/>
      <c r="T95" s="5"/>
      <c r="U95" s="5"/>
      <c r="V95" s="12"/>
      <c r="W95" s="12"/>
    </row>
    <row r="96" spans="2:23" x14ac:dyDescent="0.3">
      <c r="B96" t="str">
        <f t="shared" si="47"/>
        <v>Chris Flynn</v>
      </c>
      <c r="C96" s="5">
        <v>-8</v>
      </c>
      <c r="D96" s="5"/>
      <c r="E96" s="5"/>
      <c r="F96" s="5"/>
      <c r="G96" s="5"/>
      <c r="H96" s="5"/>
      <c r="I96" s="5"/>
      <c r="J96" s="5"/>
      <c r="K96" s="5"/>
      <c r="L96" s="12"/>
      <c r="M96" s="5"/>
      <c r="N96" s="5"/>
      <c r="O96" s="5"/>
      <c r="P96" s="5"/>
      <c r="Q96" s="5"/>
      <c r="R96" s="5"/>
      <c r="S96" s="5"/>
      <c r="T96" s="5"/>
      <c r="U96" s="5"/>
      <c r="V96" s="12"/>
      <c r="W96" s="12"/>
    </row>
    <row r="97" spans="2:28" x14ac:dyDescent="0.3">
      <c r="C97" s="5">
        <f>SUM(C75:C96)</f>
        <v>-98</v>
      </c>
      <c r="D97" s="5">
        <f t="shared" ref="D97:K97" si="48">SUM(D75:D96)</f>
        <v>-55</v>
      </c>
      <c r="E97" s="5">
        <f t="shared" si="48"/>
        <v>-49</v>
      </c>
      <c r="F97" s="5">
        <f t="shared" si="48"/>
        <v>-49</v>
      </c>
      <c r="G97" s="5">
        <f t="shared" si="48"/>
        <v>-48</v>
      </c>
      <c r="H97" s="5">
        <f t="shared" si="48"/>
        <v>-56</v>
      </c>
      <c r="I97" s="5">
        <f t="shared" si="48"/>
        <v>-41</v>
      </c>
      <c r="J97" s="5">
        <f t="shared" si="48"/>
        <v>-41</v>
      </c>
      <c r="K97" s="5">
        <f t="shared" si="48"/>
        <v>-36</v>
      </c>
      <c r="L97" s="12"/>
      <c r="M97" s="5">
        <f t="shared" ref="M97:U97" si="49">SUM(M75:M96)</f>
        <v>-46</v>
      </c>
      <c r="N97" s="5">
        <f t="shared" si="49"/>
        <v>-46</v>
      </c>
      <c r="O97" s="5">
        <f t="shared" si="49"/>
        <v>-49</v>
      </c>
      <c r="P97" s="5">
        <f t="shared" si="49"/>
        <v>-20</v>
      </c>
      <c r="Q97" s="5">
        <f t="shared" si="49"/>
        <v>-44</v>
      </c>
      <c r="R97" s="5">
        <f t="shared" si="49"/>
        <v>-54</v>
      </c>
      <c r="S97" s="5">
        <f t="shared" si="49"/>
        <v>-37</v>
      </c>
      <c r="T97" s="5">
        <f t="shared" si="49"/>
        <v>-50</v>
      </c>
      <c r="U97" s="5">
        <f t="shared" si="49"/>
        <v>-44</v>
      </c>
      <c r="V97" s="12"/>
      <c r="W97" s="12"/>
    </row>
    <row r="98" spans="2:28" x14ac:dyDescent="0.3">
      <c r="B98" t="s">
        <v>16</v>
      </c>
      <c r="C98" s="5"/>
      <c r="D98" s="5"/>
      <c r="E98" s="5"/>
      <c r="F98" s="5"/>
      <c r="G98" s="5"/>
      <c r="H98" s="5"/>
      <c r="I98" s="5"/>
      <c r="J98" s="5"/>
      <c r="K98" s="5"/>
      <c r="L98" s="12"/>
      <c r="M98" s="5"/>
      <c r="N98" s="5"/>
      <c r="O98" s="5"/>
      <c r="P98" s="5"/>
      <c r="Q98" s="5"/>
      <c r="R98" s="5"/>
      <c r="S98" s="5"/>
      <c r="T98" s="5"/>
      <c r="U98" s="5"/>
      <c r="V98" s="12"/>
      <c r="W98" s="12"/>
      <c r="Y98" t="s">
        <v>17</v>
      </c>
      <c r="Z98" t="s">
        <v>18</v>
      </c>
      <c r="AA98" t="s">
        <v>1</v>
      </c>
    </row>
    <row r="99" spans="2:28" x14ac:dyDescent="0.3">
      <c r="B99" t="str">
        <f>+B75</f>
        <v>Colin Sullivan</v>
      </c>
      <c r="C99" s="5">
        <f t="shared" ref="C99:K99" si="50">+C51+C75</f>
        <v>-4</v>
      </c>
      <c r="D99" s="5">
        <f t="shared" si="50"/>
        <v>10</v>
      </c>
      <c r="E99" s="5">
        <f t="shared" si="50"/>
        <v>-10</v>
      </c>
      <c r="F99" s="5">
        <f t="shared" si="50"/>
        <v>-6</v>
      </c>
      <c r="G99" s="5">
        <f t="shared" si="50"/>
        <v>9</v>
      </c>
      <c r="H99" s="5">
        <f t="shared" si="50"/>
        <v>2</v>
      </c>
      <c r="I99" s="5">
        <f t="shared" si="50"/>
        <v>-1</v>
      </c>
      <c r="J99" s="5">
        <f t="shared" si="50"/>
        <v>6</v>
      </c>
      <c r="K99" s="5">
        <f t="shared" si="50"/>
        <v>0</v>
      </c>
      <c r="L99" s="12">
        <f>SUM(C99:K99)</f>
        <v>6</v>
      </c>
      <c r="M99" s="5">
        <f t="shared" ref="M99:U99" si="51">+M51+M75</f>
        <v>11</v>
      </c>
      <c r="N99" s="5">
        <f t="shared" si="51"/>
        <v>5</v>
      </c>
      <c r="O99" s="5">
        <f t="shared" si="51"/>
        <v>-5</v>
      </c>
      <c r="P99" s="5">
        <f t="shared" si="51"/>
        <v>2</v>
      </c>
      <c r="Q99" s="5">
        <f t="shared" si="51"/>
        <v>8</v>
      </c>
      <c r="R99" s="5">
        <f t="shared" si="51"/>
        <v>8</v>
      </c>
      <c r="S99" s="5">
        <f t="shared" si="51"/>
        <v>0</v>
      </c>
      <c r="T99" s="5">
        <f t="shared" si="51"/>
        <v>9</v>
      </c>
      <c r="U99" s="5">
        <f t="shared" si="51"/>
        <v>-6</v>
      </c>
      <c r="V99" s="12">
        <f>SUM(M99:U99)</f>
        <v>32</v>
      </c>
      <c r="W99" s="12">
        <f>+V99+L99</f>
        <v>38</v>
      </c>
      <c r="X99" s="3">
        <f>+W99*0.3</f>
        <v>11.4</v>
      </c>
      <c r="Y99" s="4">
        <f>3.5-1.5</f>
        <v>2</v>
      </c>
      <c r="Z99" s="4">
        <v>5</v>
      </c>
      <c r="AA99" s="4">
        <f>10-1</f>
        <v>9</v>
      </c>
      <c r="AB99" s="10">
        <f>+X99+Y99+Z99+AA99</f>
        <v>27.4</v>
      </c>
    </row>
    <row r="100" spans="2:28" x14ac:dyDescent="0.3">
      <c r="B100" t="str">
        <f t="shared" ref="B100:B120" si="52">+B76</f>
        <v>Bernie Sullivan</v>
      </c>
      <c r="C100" s="5">
        <f t="shared" ref="C100:K100" si="53">+C52+C76</f>
        <v>13</v>
      </c>
      <c r="D100" s="5">
        <f t="shared" si="53"/>
        <v>4</v>
      </c>
      <c r="E100" s="5">
        <f t="shared" si="53"/>
        <v>5</v>
      </c>
      <c r="F100" s="5">
        <f t="shared" si="53"/>
        <v>-11</v>
      </c>
      <c r="G100" s="5">
        <f t="shared" si="53"/>
        <v>9</v>
      </c>
      <c r="H100" s="5">
        <f t="shared" si="53"/>
        <v>-9</v>
      </c>
      <c r="I100" s="5">
        <f t="shared" si="53"/>
        <v>-1</v>
      </c>
      <c r="J100" s="5">
        <f t="shared" si="53"/>
        <v>6</v>
      </c>
      <c r="K100" s="5">
        <f t="shared" si="53"/>
        <v>-10</v>
      </c>
      <c r="L100" s="12">
        <f t="shared" ref="L100:L120" si="54">SUM(C100:K100)</f>
        <v>6</v>
      </c>
      <c r="M100" s="5">
        <f t="shared" ref="M100:U100" si="55">+M52+M76</f>
        <v>5</v>
      </c>
      <c r="N100" s="5">
        <f t="shared" si="55"/>
        <v>-5</v>
      </c>
      <c r="O100" s="5">
        <f t="shared" si="55"/>
        <v>10</v>
      </c>
      <c r="P100" s="5">
        <f t="shared" si="55"/>
        <v>2</v>
      </c>
      <c r="Q100" s="5">
        <f t="shared" si="55"/>
        <v>8</v>
      </c>
      <c r="R100" s="5">
        <f t="shared" si="55"/>
        <v>-7</v>
      </c>
      <c r="S100" s="5">
        <f t="shared" si="55"/>
        <v>-10</v>
      </c>
      <c r="T100" s="5">
        <f t="shared" si="55"/>
        <v>1</v>
      </c>
      <c r="U100" s="5">
        <f t="shared" si="55"/>
        <v>3</v>
      </c>
      <c r="V100" s="12">
        <f t="shared" ref="V100:V120" si="56">SUM(M100:U100)</f>
        <v>7</v>
      </c>
      <c r="W100" s="12">
        <f t="shared" ref="W100:W120" si="57">+V100+L100</f>
        <v>13</v>
      </c>
      <c r="X100" s="3">
        <f t="shared" ref="X100:X121" si="58">+W100*0.3</f>
        <v>3.9</v>
      </c>
      <c r="Y100" s="4">
        <f t="shared" ref="Y100:Y121" si="59">3.5-1.5</f>
        <v>2</v>
      </c>
      <c r="Z100" s="4">
        <v>5</v>
      </c>
      <c r="AA100" s="4">
        <f t="shared" ref="AA100:AA121" si="60">10-1</f>
        <v>9</v>
      </c>
      <c r="AB100" s="10">
        <f t="shared" ref="AB100:AB114" si="61">+X100+Y100+Z100+AA100</f>
        <v>19.899999999999999</v>
      </c>
    </row>
    <row r="101" spans="2:28" x14ac:dyDescent="0.3">
      <c r="B101" t="str">
        <f t="shared" si="52"/>
        <v>Joe McCardel</v>
      </c>
      <c r="C101" s="5">
        <f t="shared" ref="C101:K101" si="62">+C53+C77</f>
        <v>6</v>
      </c>
      <c r="D101" s="5">
        <f t="shared" si="62"/>
        <v>-11</v>
      </c>
      <c r="E101" s="5">
        <f t="shared" si="62"/>
        <v>-4</v>
      </c>
      <c r="F101" s="5">
        <f t="shared" si="62"/>
        <v>-6</v>
      </c>
      <c r="G101" s="5">
        <f t="shared" si="62"/>
        <v>-11</v>
      </c>
      <c r="H101" s="5">
        <f t="shared" si="62"/>
        <v>2</v>
      </c>
      <c r="I101" s="5">
        <f t="shared" si="62"/>
        <v>-1</v>
      </c>
      <c r="J101" s="5">
        <f t="shared" si="62"/>
        <v>-5</v>
      </c>
      <c r="K101" s="5">
        <f t="shared" si="62"/>
        <v>10</v>
      </c>
      <c r="L101" s="12">
        <f t="shared" si="54"/>
        <v>-20</v>
      </c>
      <c r="M101" s="5">
        <f t="shared" ref="M101:U101" si="63">+M53+M77</f>
        <v>-5</v>
      </c>
      <c r="N101" s="5">
        <f t="shared" si="63"/>
        <v>-5</v>
      </c>
      <c r="O101" s="5">
        <f t="shared" si="63"/>
        <v>-11</v>
      </c>
      <c r="P101" s="5">
        <f t="shared" si="63"/>
        <v>2</v>
      </c>
      <c r="Q101" s="5">
        <f t="shared" si="63"/>
        <v>-10</v>
      </c>
      <c r="R101" s="5">
        <f t="shared" si="63"/>
        <v>0</v>
      </c>
      <c r="S101" s="5">
        <f t="shared" si="63"/>
        <v>0</v>
      </c>
      <c r="T101" s="5">
        <f t="shared" si="63"/>
        <v>1</v>
      </c>
      <c r="U101" s="5">
        <f t="shared" si="63"/>
        <v>-6</v>
      </c>
      <c r="V101" s="12">
        <f t="shared" si="56"/>
        <v>-34</v>
      </c>
      <c r="W101" s="12">
        <f t="shared" si="57"/>
        <v>-54</v>
      </c>
      <c r="X101" s="3">
        <f t="shared" si="58"/>
        <v>-16.2</v>
      </c>
      <c r="Y101" s="4">
        <f t="shared" si="59"/>
        <v>2</v>
      </c>
      <c r="Z101" s="4">
        <v>5</v>
      </c>
      <c r="AA101" s="4">
        <f t="shared" si="60"/>
        <v>9</v>
      </c>
      <c r="AB101" s="10">
        <f t="shared" si="61"/>
        <v>-0.19999999999999929</v>
      </c>
    </row>
    <row r="102" spans="2:28" x14ac:dyDescent="0.3">
      <c r="B102" t="str">
        <f t="shared" si="52"/>
        <v>Dave Brauer</v>
      </c>
      <c r="C102" s="5">
        <f t="shared" ref="C102:K102" si="64">+C54+C78</f>
        <v>6</v>
      </c>
      <c r="D102" s="5">
        <f t="shared" si="64"/>
        <v>4</v>
      </c>
      <c r="E102" s="5">
        <f t="shared" si="64"/>
        <v>-4</v>
      </c>
      <c r="F102" s="5">
        <f t="shared" si="64"/>
        <v>-6</v>
      </c>
      <c r="G102" s="5">
        <f t="shared" si="64"/>
        <v>0</v>
      </c>
      <c r="H102" s="5">
        <f t="shared" si="64"/>
        <v>-5</v>
      </c>
      <c r="I102" s="5">
        <f t="shared" si="64"/>
        <v>9</v>
      </c>
      <c r="J102" s="5">
        <f t="shared" si="64"/>
        <v>-5</v>
      </c>
      <c r="K102" s="5">
        <f t="shared" si="64"/>
        <v>0</v>
      </c>
      <c r="L102" s="12">
        <f t="shared" si="54"/>
        <v>-1</v>
      </c>
      <c r="M102" s="5">
        <f t="shared" ref="M102:U102" si="65">+M54+M78</f>
        <v>5</v>
      </c>
      <c r="N102" s="5">
        <f t="shared" si="65"/>
        <v>5</v>
      </c>
      <c r="O102" s="5">
        <f t="shared" si="65"/>
        <v>4</v>
      </c>
      <c r="P102" s="5">
        <f t="shared" si="65"/>
        <v>-10</v>
      </c>
      <c r="Q102" s="5">
        <f t="shared" si="65"/>
        <v>-2</v>
      </c>
      <c r="R102" s="5">
        <f t="shared" si="65"/>
        <v>0</v>
      </c>
      <c r="S102" s="5">
        <f t="shared" si="65"/>
        <v>11</v>
      </c>
      <c r="T102" s="5">
        <f t="shared" si="65"/>
        <v>9</v>
      </c>
      <c r="U102" s="5">
        <f t="shared" si="65"/>
        <v>3</v>
      </c>
      <c r="V102" s="12">
        <f t="shared" si="56"/>
        <v>25</v>
      </c>
      <c r="W102" s="12">
        <f t="shared" si="57"/>
        <v>24</v>
      </c>
      <c r="X102" s="3">
        <f t="shared" si="58"/>
        <v>7.1999999999999993</v>
      </c>
      <c r="Y102" s="4">
        <f t="shared" si="59"/>
        <v>2</v>
      </c>
      <c r="Z102" s="4">
        <v>5</v>
      </c>
      <c r="AA102" s="4">
        <f t="shared" si="60"/>
        <v>9</v>
      </c>
      <c r="AB102" s="10">
        <f>+X102+Y102+Z102+AA102</f>
        <v>23.2</v>
      </c>
    </row>
    <row r="103" spans="2:28" x14ac:dyDescent="0.3">
      <c r="B103" t="str">
        <f t="shared" si="52"/>
        <v>John Sullivan</v>
      </c>
      <c r="C103" s="5">
        <f t="shared" ref="C103:K103" si="66">+C55+C79</f>
        <v>6</v>
      </c>
      <c r="D103" s="5">
        <f t="shared" si="66"/>
        <v>10</v>
      </c>
      <c r="E103" s="5">
        <f t="shared" si="66"/>
        <v>5</v>
      </c>
      <c r="F103" s="5">
        <f t="shared" si="66"/>
        <v>10</v>
      </c>
      <c r="G103" s="5">
        <f t="shared" si="66"/>
        <v>9</v>
      </c>
      <c r="H103" s="5">
        <f t="shared" si="66"/>
        <v>-11</v>
      </c>
      <c r="I103" s="5">
        <f t="shared" si="66"/>
        <v>-1</v>
      </c>
      <c r="J103" s="5">
        <f t="shared" si="66"/>
        <v>6</v>
      </c>
      <c r="K103" s="5">
        <f t="shared" si="66"/>
        <v>10</v>
      </c>
      <c r="L103" s="12">
        <f t="shared" si="54"/>
        <v>44</v>
      </c>
      <c r="M103" s="5">
        <f t="shared" ref="M103:U103" si="67">+M55+M79</f>
        <v>-5</v>
      </c>
      <c r="N103" s="5">
        <f t="shared" si="67"/>
        <v>11</v>
      </c>
      <c r="O103" s="5">
        <f t="shared" si="67"/>
        <v>4</v>
      </c>
      <c r="P103" s="5">
        <f t="shared" si="67"/>
        <v>2</v>
      </c>
      <c r="Q103" s="5">
        <f t="shared" si="67"/>
        <v>-2</v>
      </c>
      <c r="R103" s="5">
        <f t="shared" si="67"/>
        <v>0</v>
      </c>
      <c r="S103" s="5">
        <f t="shared" si="67"/>
        <v>9</v>
      </c>
      <c r="T103" s="5">
        <f t="shared" si="67"/>
        <v>1</v>
      </c>
      <c r="U103" s="5">
        <f t="shared" si="67"/>
        <v>3</v>
      </c>
      <c r="V103" s="12">
        <f t="shared" si="56"/>
        <v>23</v>
      </c>
      <c r="W103" s="12">
        <f t="shared" si="57"/>
        <v>67</v>
      </c>
      <c r="X103" s="3">
        <f t="shared" si="58"/>
        <v>20.099999999999998</v>
      </c>
      <c r="Y103" s="4">
        <f t="shared" si="59"/>
        <v>2</v>
      </c>
      <c r="Z103" s="4">
        <v>5</v>
      </c>
      <c r="AA103" s="4">
        <f t="shared" si="60"/>
        <v>9</v>
      </c>
      <c r="AB103" s="10">
        <f t="shared" si="61"/>
        <v>36.099999999999994</v>
      </c>
    </row>
    <row r="104" spans="2:28" x14ac:dyDescent="0.3">
      <c r="B104" t="str">
        <f t="shared" si="52"/>
        <v>Ralph</v>
      </c>
      <c r="C104" s="5">
        <f t="shared" ref="C104:K104" si="68">+C56+C80</f>
        <v>6</v>
      </c>
      <c r="D104" s="5">
        <f t="shared" si="68"/>
        <v>-2</v>
      </c>
      <c r="E104" s="5">
        <f t="shared" si="68"/>
        <v>-4</v>
      </c>
      <c r="F104" s="5">
        <f t="shared" si="68"/>
        <v>10</v>
      </c>
      <c r="G104" s="5">
        <f t="shared" si="68"/>
        <v>0</v>
      </c>
      <c r="H104" s="5">
        <f t="shared" si="68"/>
        <v>2</v>
      </c>
      <c r="I104" s="5">
        <f t="shared" si="68"/>
        <v>-10</v>
      </c>
      <c r="J104" s="5">
        <f t="shared" si="68"/>
        <v>6</v>
      </c>
      <c r="K104" s="5">
        <f t="shared" si="68"/>
        <v>0</v>
      </c>
      <c r="L104" s="12">
        <f t="shared" si="54"/>
        <v>8</v>
      </c>
      <c r="M104" s="5">
        <f t="shared" ref="M104:U104" si="69">+M56+M80</f>
        <v>5</v>
      </c>
      <c r="N104" s="5">
        <f t="shared" si="69"/>
        <v>-11</v>
      </c>
      <c r="O104" s="5">
        <f t="shared" si="69"/>
        <v>-5</v>
      </c>
      <c r="P104" s="5">
        <f t="shared" si="69"/>
        <v>2</v>
      </c>
      <c r="Q104" s="5">
        <f t="shared" si="69"/>
        <v>-2</v>
      </c>
      <c r="R104" s="5">
        <f t="shared" si="69"/>
        <v>-10</v>
      </c>
      <c r="S104" s="5">
        <f t="shared" si="69"/>
        <v>-10</v>
      </c>
      <c r="T104" s="5">
        <f t="shared" si="69"/>
        <v>1</v>
      </c>
      <c r="U104" s="5">
        <f t="shared" si="69"/>
        <v>-9</v>
      </c>
      <c r="V104" s="12">
        <f t="shared" si="56"/>
        <v>-39</v>
      </c>
      <c r="W104" s="12">
        <f t="shared" si="57"/>
        <v>-31</v>
      </c>
      <c r="X104" s="3">
        <f t="shared" si="58"/>
        <v>-9.2999999999999989</v>
      </c>
      <c r="Y104" s="4">
        <f t="shared" si="59"/>
        <v>2</v>
      </c>
      <c r="Z104" s="4">
        <v>5</v>
      </c>
      <c r="AA104" s="4">
        <f t="shared" si="60"/>
        <v>9</v>
      </c>
      <c r="AB104" s="10">
        <f t="shared" si="61"/>
        <v>6.7000000000000011</v>
      </c>
    </row>
    <row r="105" spans="2:28" x14ac:dyDescent="0.3">
      <c r="B105" t="str">
        <f t="shared" si="52"/>
        <v>Leo</v>
      </c>
      <c r="C105" s="5">
        <f t="shared" ref="C105:K105" si="70">+C57+C81</f>
        <v>15</v>
      </c>
      <c r="D105" s="5">
        <f t="shared" si="70"/>
        <v>-7</v>
      </c>
      <c r="E105" s="5">
        <f t="shared" si="70"/>
        <v>5</v>
      </c>
      <c r="F105" s="5">
        <f t="shared" si="70"/>
        <v>3</v>
      </c>
      <c r="G105" s="5">
        <f t="shared" si="70"/>
        <v>-9</v>
      </c>
      <c r="H105" s="5">
        <f t="shared" si="70"/>
        <v>11</v>
      </c>
      <c r="I105" s="5">
        <f t="shared" si="70"/>
        <v>-10</v>
      </c>
      <c r="J105" s="5">
        <f t="shared" si="70"/>
        <v>-5</v>
      </c>
      <c r="K105" s="5">
        <f t="shared" si="70"/>
        <v>0</v>
      </c>
      <c r="L105" s="12">
        <f t="shared" si="54"/>
        <v>3</v>
      </c>
      <c r="M105" s="5">
        <f t="shared" ref="M105:U105" si="71">+M57+M81</f>
        <v>-5</v>
      </c>
      <c r="N105" s="5">
        <f t="shared" si="71"/>
        <v>5</v>
      </c>
      <c r="O105" s="5">
        <f t="shared" si="71"/>
        <v>-5</v>
      </c>
      <c r="P105" s="5">
        <f t="shared" si="71"/>
        <v>2</v>
      </c>
      <c r="Q105" s="5">
        <f t="shared" si="71"/>
        <v>-2</v>
      </c>
      <c r="R105" s="5">
        <f t="shared" si="71"/>
        <v>8</v>
      </c>
      <c r="S105" s="5">
        <f t="shared" si="71"/>
        <v>0</v>
      </c>
      <c r="T105" s="5">
        <f t="shared" si="71"/>
        <v>-7</v>
      </c>
      <c r="U105" s="5">
        <f t="shared" si="71"/>
        <v>11</v>
      </c>
      <c r="V105" s="12">
        <f t="shared" si="56"/>
        <v>7</v>
      </c>
      <c r="W105" s="12">
        <f t="shared" si="57"/>
        <v>10</v>
      </c>
      <c r="X105" s="3">
        <f t="shared" si="58"/>
        <v>3</v>
      </c>
      <c r="Y105" s="4">
        <f t="shared" si="59"/>
        <v>2</v>
      </c>
      <c r="Z105" s="4">
        <v>5</v>
      </c>
      <c r="AA105" s="4">
        <f t="shared" si="60"/>
        <v>9</v>
      </c>
      <c r="AB105" s="10">
        <f t="shared" si="61"/>
        <v>19</v>
      </c>
    </row>
    <row r="106" spans="2:28" x14ac:dyDescent="0.3">
      <c r="B106" t="str">
        <f t="shared" si="52"/>
        <v>Matt Lawrence</v>
      </c>
      <c r="C106" s="5">
        <f t="shared" ref="C106:K106" si="72">+C58+C82</f>
        <v>4</v>
      </c>
      <c r="D106" s="5">
        <f t="shared" si="72"/>
        <v>4</v>
      </c>
      <c r="E106" s="5">
        <f t="shared" si="72"/>
        <v>5</v>
      </c>
      <c r="F106" s="5">
        <f t="shared" si="72"/>
        <v>3</v>
      </c>
      <c r="G106" s="5">
        <f t="shared" si="72"/>
        <v>-7</v>
      </c>
      <c r="H106" s="5">
        <f t="shared" si="72"/>
        <v>-5</v>
      </c>
      <c r="I106" s="5">
        <f t="shared" si="72"/>
        <v>9</v>
      </c>
      <c r="J106" s="5">
        <f t="shared" si="72"/>
        <v>-5</v>
      </c>
      <c r="K106" s="5">
        <f t="shared" si="72"/>
        <v>0</v>
      </c>
      <c r="L106" s="12">
        <f t="shared" si="54"/>
        <v>8</v>
      </c>
      <c r="M106" s="5">
        <f t="shared" ref="M106:U106" si="73">+M58+M82</f>
        <v>5</v>
      </c>
      <c r="N106" s="5">
        <f t="shared" si="73"/>
        <v>5</v>
      </c>
      <c r="O106" s="5">
        <f t="shared" si="73"/>
        <v>4</v>
      </c>
      <c r="P106" s="5">
        <f t="shared" si="73"/>
        <v>2</v>
      </c>
      <c r="Q106" s="5">
        <f t="shared" si="73"/>
        <v>-10</v>
      </c>
      <c r="R106" s="5">
        <f t="shared" si="73"/>
        <v>8</v>
      </c>
      <c r="S106" s="5">
        <f t="shared" si="73"/>
        <v>0</v>
      </c>
      <c r="T106" s="5">
        <f t="shared" si="73"/>
        <v>1</v>
      </c>
      <c r="U106" s="5">
        <f t="shared" si="73"/>
        <v>3</v>
      </c>
      <c r="V106" s="12">
        <f t="shared" si="56"/>
        <v>18</v>
      </c>
      <c r="W106" s="12">
        <f t="shared" si="57"/>
        <v>26</v>
      </c>
      <c r="X106" s="3">
        <f t="shared" si="58"/>
        <v>7.8</v>
      </c>
      <c r="Y106" s="4">
        <f t="shared" si="59"/>
        <v>2</v>
      </c>
      <c r="Z106" s="4">
        <v>5</v>
      </c>
      <c r="AA106" s="4">
        <f t="shared" si="60"/>
        <v>9</v>
      </c>
      <c r="AB106" s="10">
        <f t="shared" si="61"/>
        <v>23.8</v>
      </c>
    </row>
    <row r="107" spans="2:28" x14ac:dyDescent="0.3">
      <c r="B107" t="str">
        <f t="shared" si="52"/>
        <v>Jerry Flynn</v>
      </c>
      <c r="C107" s="5">
        <f t="shared" ref="C107:K107" si="74">+C59+C83</f>
        <v>6</v>
      </c>
      <c r="D107" s="5">
        <f t="shared" si="74"/>
        <v>-2</v>
      </c>
      <c r="E107" s="5">
        <f t="shared" si="74"/>
        <v>-10</v>
      </c>
      <c r="F107" s="5">
        <f t="shared" si="74"/>
        <v>3</v>
      </c>
      <c r="G107" s="5">
        <f t="shared" si="74"/>
        <v>0</v>
      </c>
      <c r="H107" s="5">
        <f t="shared" si="74"/>
        <v>2</v>
      </c>
      <c r="I107" s="5">
        <f t="shared" si="74"/>
        <v>-1</v>
      </c>
      <c r="J107" s="5">
        <f t="shared" si="74"/>
        <v>6</v>
      </c>
      <c r="K107" s="5">
        <f t="shared" si="74"/>
        <v>-10</v>
      </c>
      <c r="L107" s="12">
        <f t="shared" si="54"/>
        <v>-6</v>
      </c>
      <c r="M107" s="5">
        <f t="shared" ref="M107:U107" si="75">+M59+M83</f>
        <v>-11</v>
      </c>
      <c r="N107" s="5">
        <f t="shared" si="75"/>
        <v>-5</v>
      </c>
      <c r="O107" s="5">
        <f t="shared" si="75"/>
        <v>-5</v>
      </c>
      <c r="P107" s="5">
        <f t="shared" si="75"/>
        <v>2</v>
      </c>
      <c r="Q107" s="5">
        <f t="shared" si="75"/>
        <v>-2</v>
      </c>
      <c r="R107" s="5">
        <f t="shared" si="75"/>
        <v>8</v>
      </c>
      <c r="S107" s="5">
        <f t="shared" si="75"/>
        <v>0</v>
      </c>
      <c r="T107" s="5">
        <f t="shared" si="75"/>
        <v>-7</v>
      </c>
      <c r="U107" s="5">
        <f t="shared" si="75"/>
        <v>3</v>
      </c>
      <c r="V107" s="12">
        <f t="shared" si="56"/>
        <v>-17</v>
      </c>
      <c r="W107" s="12">
        <f t="shared" si="57"/>
        <v>-23</v>
      </c>
      <c r="X107" s="3">
        <f t="shared" si="58"/>
        <v>-6.8999999999999995</v>
      </c>
      <c r="Y107" s="4">
        <f t="shared" si="59"/>
        <v>2</v>
      </c>
      <c r="Z107" s="4">
        <v>5</v>
      </c>
      <c r="AA107" s="4">
        <f t="shared" si="60"/>
        <v>9</v>
      </c>
      <c r="AB107" s="10">
        <f t="shared" si="61"/>
        <v>9.1000000000000014</v>
      </c>
    </row>
    <row r="108" spans="2:28" x14ac:dyDescent="0.3">
      <c r="B108" t="str">
        <f t="shared" si="52"/>
        <v>Mike Flynn</v>
      </c>
      <c r="C108" s="5">
        <f t="shared" ref="C108:K108" si="76">+C60+C84</f>
        <v>-4</v>
      </c>
      <c r="D108" s="5">
        <f t="shared" si="76"/>
        <v>4</v>
      </c>
      <c r="E108" s="5">
        <f t="shared" si="76"/>
        <v>5</v>
      </c>
      <c r="F108" s="5">
        <f t="shared" si="76"/>
        <v>3</v>
      </c>
      <c r="G108" s="5">
        <f t="shared" si="76"/>
        <v>0</v>
      </c>
      <c r="H108" s="5">
        <f t="shared" si="76"/>
        <v>8</v>
      </c>
      <c r="I108" s="5">
        <f t="shared" si="76"/>
        <v>-1</v>
      </c>
      <c r="J108" s="5">
        <f t="shared" si="76"/>
        <v>-5</v>
      </c>
      <c r="K108" s="5">
        <f t="shared" si="76"/>
        <v>0</v>
      </c>
      <c r="L108" s="12">
        <f t="shared" si="54"/>
        <v>10</v>
      </c>
      <c r="M108" s="5">
        <f t="shared" ref="M108:U108" si="77">+M60+M84</f>
        <v>-5</v>
      </c>
      <c r="N108" s="5">
        <f t="shared" si="77"/>
        <v>-5</v>
      </c>
      <c r="O108" s="5">
        <f t="shared" si="77"/>
        <v>4</v>
      </c>
      <c r="P108" s="5">
        <f t="shared" si="77"/>
        <v>2</v>
      </c>
      <c r="Q108" s="5">
        <f t="shared" si="77"/>
        <v>8</v>
      </c>
      <c r="R108" s="5">
        <f t="shared" si="77"/>
        <v>4</v>
      </c>
      <c r="S108" s="5">
        <f t="shared" si="77"/>
        <v>0</v>
      </c>
      <c r="T108" s="5">
        <f t="shared" si="77"/>
        <v>-7</v>
      </c>
      <c r="U108" s="5">
        <f t="shared" si="77"/>
        <v>3</v>
      </c>
      <c r="V108" s="12">
        <f t="shared" si="56"/>
        <v>4</v>
      </c>
      <c r="W108" s="12">
        <f t="shared" si="57"/>
        <v>14</v>
      </c>
      <c r="X108" s="3">
        <f t="shared" si="58"/>
        <v>4.2</v>
      </c>
      <c r="Y108" s="4">
        <f t="shared" si="59"/>
        <v>2</v>
      </c>
      <c r="Z108" s="4">
        <v>5</v>
      </c>
      <c r="AA108" s="4">
        <f t="shared" si="60"/>
        <v>9</v>
      </c>
      <c r="AB108" s="10">
        <f t="shared" si="61"/>
        <v>20.2</v>
      </c>
    </row>
    <row r="109" spans="2:28" x14ac:dyDescent="0.3">
      <c r="B109" t="str">
        <f t="shared" si="52"/>
        <v>Sean Flynn</v>
      </c>
      <c r="C109" s="5">
        <f t="shared" ref="C109:K109" si="78">+C61+C85</f>
        <v>-15</v>
      </c>
      <c r="D109" s="5">
        <f t="shared" si="78"/>
        <v>-7</v>
      </c>
      <c r="E109" s="5">
        <f t="shared" si="78"/>
        <v>-4</v>
      </c>
      <c r="F109" s="5">
        <f t="shared" si="78"/>
        <v>-6</v>
      </c>
      <c r="G109" s="5">
        <f t="shared" si="78"/>
        <v>0</v>
      </c>
      <c r="H109" s="5">
        <f t="shared" si="78"/>
        <v>-5</v>
      </c>
      <c r="I109" s="5">
        <f t="shared" si="78"/>
        <v>-1</v>
      </c>
      <c r="J109" s="5">
        <f t="shared" si="78"/>
        <v>6</v>
      </c>
      <c r="K109" s="5">
        <f t="shared" si="78"/>
        <v>0</v>
      </c>
      <c r="L109" s="12">
        <f t="shared" si="54"/>
        <v>-32</v>
      </c>
      <c r="M109" s="5">
        <f t="shared" ref="M109:U109" si="79">+M61+M85</f>
        <v>5</v>
      </c>
      <c r="N109" s="5">
        <f t="shared" si="79"/>
        <v>5</v>
      </c>
      <c r="O109" s="5">
        <f t="shared" si="79"/>
        <v>10</v>
      </c>
      <c r="P109" s="5">
        <f t="shared" si="79"/>
        <v>2</v>
      </c>
      <c r="Q109" s="5">
        <f t="shared" si="79"/>
        <v>8</v>
      </c>
      <c r="R109" s="5">
        <f t="shared" si="79"/>
        <v>-10</v>
      </c>
      <c r="S109" s="5">
        <f t="shared" si="79"/>
        <v>0</v>
      </c>
      <c r="T109" s="5">
        <f t="shared" si="79"/>
        <v>9</v>
      </c>
      <c r="U109" s="5">
        <f t="shared" si="79"/>
        <v>-11</v>
      </c>
      <c r="V109" s="12">
        <f t="shared" si="56"/>
        <v>18</v>
      </c>
      <c r="W109" s="12">
        <f t="shared" si="57"/>
        <v>-14</v>
      </c>
      <c r="X109" s="3">
        <f t="shared" si="58"/>
        <v>-4.2</v>
      </c>
      <c r="Y109" s="4">
        <f t="shared" si="59"/>
        <v>2</v>
      </c>
      <c r="Z109" s="4">
        <v>5</v>
      </c>
      <c r="AA109" s="4">
        <f t="shared" si="60"/>
        <v>9</v>
      </c>
      <c r="AB109" s="10">
        <f t="shared" si="61"/>
        <v>11.8</v>
      </c>
    </row>
    <row r="110" spans="2:28" x14ac:dyDescent="0.3">
      <c r="B110" t="str">
        <f t="shared" si="52"/>
        <v>Kevin Fitzgerald</v>
      </c>
      <c r="C110" s="5">
        <f t="shared" ref="C110:K110" si="80">+C62+C86</f>
        <v>-4</v>
      </c>
      <c r="D110" s="5">
        <f t="shared" si="80"/>
        <v>-7</v>
      </c>
      <c r="E110" s="5">
        <f t="shared" si="80"/>
        <v>11</v>
      </c>
      <c r="F110" s="5">
        <f t="shared" si="80"/>
        <v>3</v>
      </c>
      <c r="G110" s="5">
        <f t="shared" si="80"/>
        <v>0</v>
      </c>
      <c r="H110" s="5">
        <f t="shared" si="80"/>
        <v>8</v>
      </c>
      <c r="I110" s="5">
        <f t="shared" si="80"/>
        <v>9</v>
      </c>
      <c r="J110" s="5">
        <f t="shared" si="80"/>
        <v>-11</v>
      </c>
      <c r="K110" s="5">
        <f t="shared" si="80"/>
        <v>0</v>
      </c>
      <c r="L110" s="12">
        <f t="shared" si="54"/>
        <v>9</v>
      </c>
      <c r="M110" s="5">
        <f t="shared" ref="M110:U110" si="81">+M62+M86</f>
        <v>-5</v>
      </c>
      <c r="N110" s="5">
        <f t="shared" si="81"/>
        <v>-5</v>
      </c>
      <c r="O110" s="5">
        <f t="shared" si="81"/>
        <v>-5</v>
      </c>
      <c r="P110" s="5">
        <f t="shared" si="81"/>
        <v>-10</v>
      </c>
      <c r="Q110" s="5">
        <f t="shared" si="81"/>
        <v>-2</v>
      </c>
      <c r="R110" s="5">
        <f t="shared" si="81"/>
        <v>-9</v>
      </c>
      <c r="S110" s="5">
        <f t="shared" si="81"/>
        <v>0</v>
      </c>
      <c r="T110" s="5">
        <f t="shared" si="81"/>
        <v>-11</v>
      </c>
      <c r="U110" s="5">
        <f t="shared" si="81"/>
        <v>3</v>
      </c>
      <c r="V110" s="12">
        <f t="shared" si="56"/>
        <v>-44</v>
      </c>
      <c r="W110" s="12">
        <f t="shared" si="57"/>
        <v>-35</v>
      </c>
      <c r="X110" s="3">
        <f t="shared" si="58"/>
        <v>-10.5</v>
      </c>
      <c r="Y110" s="4">
        <f t="shared" si="59"/>
        <v>2</v>
      </c>
      <c r="Z110" s="4">
        <v>5</v>
      </c>
      <c r="AA110" s="4">
        <f t="shared" si="60"/>
        <v>9</v>
      </c>
      <c r="AB110" s="10">
        <f t="shared" si="61"/>
        <v>5.5</v>
      </c>
    </row>
    <row r="111" spans="2:28" x14ac:dyDescent="0.3">
      <c r="B111" t="str">
        <f t="shared" si="52"/>
        <v>Richard McGovern</v>
      </c>
      <c r="C111" s="5">
        <f t="shared" ref="C111:K111" si="82">+C63+C87</f>
        <v>1</v>
      </c>
      <c r="D111" s="5">
        <f t="shared" si="82"/>
        <v>14</v>
      </c>
      <c r="E111" s="5">
        <f t="shared" si="82"/>
        <v>9</v>
      </c>
      <c r="F111" s="5">
        <f t="shared" si="82"/>
        <v>2</v>
      </c>
      <c r="G111" s="5">
        <f t="shared" si="82"/>
        <v>2</v>
      </c>
      <c r="H111" s="5">
        <f t="shared" si="82"/>
        <v>0</v>
      </c>
      <c r="I111" s="5">
        <f t="shared" si="82"/>
        <v>0</v>
      </c>
      <c r="J111" s="5">
        <f t="shared" si="82"/>
        <v>0</v>
      </c>
      <c r="K111" s="5">
        <f t="shared" si="82"/>
        <v>0</v>
      </c>
      <c r="L111" s="12">
        <f t="shared" si="54"/>
        <v>28</v>
      </c>
      <c r="M111" s="5">
        <f t="shared" ref="M111:U111" si="83">+M63+M87</f>
        <v>0</v>
      </c>
      <c r="N111" s="5">
        <f t="shared" si="83"/>
        <v>0</v>
      </c>
      <c r="O111" s="5">
        <f t="shared" si="83"/>
        <v>0</v>
      </c>
      <c r="P111" s="5">
        <f t="shared" si="83"/>
        <v>0</v>
      </c>
      <c r="Q111" s="5">
        <f t="shared" si="83"/>
        <v>0</v>
      </c>
      <c r="R111" s="5">
        <f t="shared" si="83"/>
        <v>0</v>
      </c>
      <c r="S111" s="5">
        <f t="shared" si="83"/>
        <v>0</v>
      </c>
      <c r="T111" s="5">
        <f t="shared" si="83"/>
        <v>0</v>
      </c>
      <c r="U111" s="5">
        <f t="shared" si="83"/>
        <v>0</v>
      </c>
      <c r="V111" s="12">
        <f t="shared" si="56"/>
        <v>0</v>
      </c>
      <c r="W111" s="12">
        <f t="shared" si="57"/>
        <v>28</v>
      </c>
      <c r="X111" s="3">
        <f t="shared" si="58"/>
        <v>8.4</v>
      </c>
      <c r="Y111" s="4">
        <f t="shared" si="59"/>
        <v>2</v>
      </c>
      <c r="Z111" s="4">
        <v>5</v>
      </c>
      <c r="AA111" s="4">
        <f t="shared" si="60"/>
        <v>9</v>
      </c>
      <c r="AB111" s="10">
        <f t="shared" si="61"/>
        <v>24.4</v>
      </c>
    </row>
    <row r="112" spans="2:28" x14ac:dyDescent="0.3">
      <c r="B112" t="str">
        <f t="shared" si="52"/>
        <v>Mike Fitzgerald</v>
      </c>
      <c r="C112" s="5">
        <f t="shared" ref="C112:K112" si="84">+C64+C88</f>
        <v>1</v>
      </c>
      <c r="D112" s="5">
        <f t="shared" si="84"/>
        <v>15</v>
      </c>
      <c r="E112" s="5">
        <f t="shared" si="84"/>
        <v>0</v>
      </c>
      <c r="F112" s="5">
        <f t="shared" si="84"/>
        <v>2</v>
      </c>
      <c r="G112" s="5">
        <f t="shared" si="84"/>
        <v>2</v>
      </c>
      <c r="H112" s="5">
        <f t="shared" si="84"/>
        <v>0</v>
      </c>
      <c r="I112" s="5">
        <f t="shared" si="84"/>
        <v>0</v>
      </c>
      <c r="J112" s="5">
        <f t="shared" si="84"/>
        <v>0</v>
      </c>
      <c r="K112" s="5">
        <f t="shared" si="84"/>
        <v>0</v>
      </c>
      <c r="L112" s="12">
        <f t="shared" si="54"/>
        <v>20</v>
      </c>
      <c r="M112" s="5">
        <f t="shared" ref="M112:U112" si="85">+M64+M88</f>
        <v>0</v>
      </c>
      <c r="N112" s="5">
        <f t="shared" si="85"/>
        <v>0</v>
      </c>
      <c r="O112" s="5">
        <f t="shared" si="85"/>
        <v>0</v>
      </c>
      <c r="P112" s="5">
        <f t="shared" si="85"/>
        <v>0</v>
      </c>
      <c r="Q112" s="5">
        <f t="shared" si="85"/>
        <v>0</v>
      </c>
      <c r="R112" s="5">
        <f t="shared" si="85"/>
        <v>0</v>
      </c>
      <c r="S112" s="5">
        <f t="shared" si="85"/>
        <v>0</v>
      </c>
      <c r="T112" s="5">
        <f t="shared" si="85"/>
        <v>0</v>
      </c>
      <c r="U112" s="5">
        <f t="shared" si="85"/>
        <v>0</v>
      </c>
      <c r="V112" s="12">
        <f t="shared" si="56"/>
        <v>0</v>
      </c>
      <c r="W112" s="12">
        <f t="shared" si="57"/>
        <v>20</v>
      </c>
      <c r="X112" s="3">
        <f t="shared" si="58"/>
        <v>6</v>
      </c>
      <c r="Y112" s="4">
        <f t="shared" si="59"/>
        <v>2</v>
      </c>
      <c r="Z112" s="4">
        <v>5</v>
      </c>
      <c r="AA112" s="4">
        <f t="shared" si="60"/>
        <v>9</v>
      </c>
      <c r="AB112" s="10">
        <f t="shared" si="61"/>
        <v>22</v>
      </c>
    </row>
    <row r="113" spans="2:28" x14ac:dyDescent="0.3">
      <c r="B113" t="str">
        <f t="shared" si="52"/>
        <v>Matt Brauer</v>
      </c>
      <c r="C113" s="5">
        <f t="shared" ref="C113:K113" si="86">+C65+C89</f>
        <v>1</v>
      </c>
      <c r="D113" s="5">
        <f t="shared" si="86"/>
        <v>1</v>
      </c>
      <c r="E113" s="5">
        <f t="shared" si="86"/>
        <v>3</v>
      </c>
      <c r="F113" s="5">
        <f t="shared" si="86"/>
        <v>2</v>
      </c>
      <c r="G113" s="5">
        <f t="shared" si="86"/>
        <v>0</v>
      </c>
      <c r="H113" s="5">
        <f t="shared" si="86"/>
        <v>0</v>
      </c>
      <c r="I113" s="5">
        <f t="shared" si="86"/>
        <v>0</v>
      </c>
      <c r="J113" s="5">
        <f t="shared" si="86"/>
        <v>0</v>
      </c>
      <c r="K113" s="5">
        <f t="shared" si="86"/>
        <v>0</v>
      </c>
      <c r="L113" s="12">
        <f t="shared" si="54"/>
        <v>7</v>
      </c>
      <c r="M113" s="5">
        <f t="shared" ref="M113:U113" si="87">+M65+M89</f>
        <v>0</v>
      </c>
      <c r="N113" s="5">
        <f t="shared" si="87"/>
        <v>0</v>
      </c>
      <c r="O113" s="5">
        <f t="shared" si="87"/>
        <v>0</v>
      </c>
      <c r="P113" s="5">
        <f t="shared" si="87"/>
        <v>0</v>
      </c>
      <c r="Q113" s="5">
        <f t="shared" si="87"/>
        <v>0</v>
      </c>
      <c r="R113" s="5">
        <f t="shared" si="87"/>
        <v>0</v>
      </c>
      <c r="S113" s="5">
        <f t="shared" si="87"/>
        <v>0</v>
      </c>
      <c r="T113" s="5">
        <f t="shared" si="87"/>
        <v>0</v>
      </c>
      <c r="U113" s="5">
        <f t="shared" si="87"/>
        <v>0</v>
      </c>
      <c r="V113" s="12">
        <f t="shared" si="56"/>
        <v>0</v>
      </c>
      <c r="W113" s="12">
        <f t="shared" si="57"/>
        <v>7</v>
      </c>
      <c r="X113" s="3">
        <f t="shared" si="58"/>
        <v>2.1</v>
      </c>
      <c r="Y113" s="4">
        <f t="shared" si="59"/>
        <v>2</v>
      </c>
      <c r="Z113" s="4">
        <v>5</v>
      </c>
      <c r="AA113" s="4">
        <f t="shared" si="60"/>
        <v>9</v>
      </c>
      <c r="AB113" s="10">
        <f t="shared" si="61"/>
        <v>18.100000000000001</v>
      </c>
    </row>
    <row r="114" spans="2:28" x14ac:dyDescent="0.3">
      <c r="B114" t="str">
        <f t="shared" si="52"/>
        <v>Blake Dougan</v>
      </c>
      <c r="C114" s="5">
        <f t="shared" ref="C114:K114" si="88">+C66+C90</f>
        <v>0</v>
      </c>
      <c r="D114" s="5">
        <f t="shared" si="88"/>
        <v>0</v>
      </c>
      <c r="E114" s="5">
        <f t="shared" si="88"/>
        <v>0</v>
      </c>
      <c r="F114" s="5">
        <f t="shared" si="88"/>
        <v>0</v>
      </c>
      <c r="G114" s="5">
        <f t="shared" si="88"/>
        <v>0</v>
      </c>
      <c r="H114" s="5">
        <f t="shared" si="88"/>
        <v>0</v>
      </c>
      <c r="I114" s="5">
        <f t="shared" si="88"/>
        <v>0</v>
      </c>
      <c r="J114" s="5">
        <f t="shared" si="88"/>
        <v>0</v>
      </c>
      <c r="K114" s="5">
        <f t="shared" si="88"/>
        <v>0</v>
      </c>
      <c r="L114" s="12">
        <f t="shared" si="54"/>
        <v>0</v>
      </c>
      <c r="M114" s="5">
        <f t="shared" ref="M114:U114" si="89">+M66+M90</f>
        <v>0</v>
      </c>
      <c r="N114" s="5">
        <f t="shared" si="89"/>
        <v>0</v>
      </c>
      <c r="O114" s="5">
        <f t="shared" si="89"/>
        <v>0</v>
      </c>
      <c r="P114" s="5">
        <f t="shared" si="89"/>
        <v>0</v>
      </c>
      <c r="Q114" s="5">
        <f t="shared" si="89"/>
        <v>0</v>
      </c>
      <c r="R114" s="5">
        <f t="shared" si="89"/>
        <v>0</v>
      </c>
      <c r="S114" s="5">
        <f t="shared" si="89"/>
        <v>0</v>
      </c>
      <c r="T114" s="5">
        <f t="shared" si="89"/>
        <v>0</v>
      </c>
      <c r="U114" s="5">
        <f t="shared" si="89"/>
        <v>0</v>
      </c>
      <c r="V114" s="12">
        <f t="shared" si="56"/>
        <v>0</v>
      </c>
      <c r="W114" s="12">
        <f t="shared" si="57"/>
        <v>0</v>
      </c>
      <c r="X114" s="3">
        <f t="shared" si="58"/>
        <v>0</v>
      </c>
      <c r="Y114" s="4">
        <f t="shared" si="59"/>
        <v>2</v>
      </c>
      <c r="Z114" s="4">
        <v>5</v>
      </c>
      <c r="AA114" s="4">
        <f t="shared" si="60"/>
        <v>9</v>
      </c>
      <c r="AB114" s="10">
        <f t="shared" si="61"/>
        <v>16</v>
      </c>
    </row>
    <row r="115" spans="2:28" x14ac:dyDescent="0.3">
      <c r="B115" t="str">
        <f t="shared" si="52"/>
        <v>Mike Dougan</v>
      </c>
      <c r="C115" s="5">
        <f t="shared" ref="C115:K115" si="90">+C67+C91</f>
        <v>0</v>
      </c>
      <c r="D115" s="5">
        <f t="shared" si="90"/>
        <v>0</v>
      </c>
      <c r="E115" s="5">
        <f t="shared" si="90"/>
        <v>0</v>
      </c>
      <c r="F115" s="5">
        <f t="shared" si="90"/>
        <v>0</v>
      </c>
      <c r="G115" s="5">
        <f t="shared" si="90"/>
        <v>0</v>
      </c>
      <c r="H115" s="5">
        <f t="shared" si="90"/>
        <v>0</v>
      </c>
      <c r="I115" s="5">
        <f t="shared" si="90"/>
        <v>0</v>
      </c>
      <c r="J115" s="5">
        <f t="shared" si="90"/>
        <v>0</v>
      </c>
      <c r="K115" s="5">
        <f t="shared" si="90"/>
        <v>0</v>
      </c>
      <c r="L115" s="12">
        <f t="shared" si="54"/>
        <v>0</v>
      </c>
      <c r="M115" s="5">
        <f t="shared" ref="M115:U115" si="91">+M67+M91</f>
        <v>0</v>
      </c>
      <c r="N115" s="5">
        <f t="shared" si="91"/>
        <v>0</v>
      </c>
      <c r="O115" s="5">
        <f t="shared" si="91"/>
        <v>0</v>
      </c>
      <c r="P115" s="5">
        <f t="shared" si="91"/>
        <v>0</v>
      </c>
      <c r="Q115" s="5">
        <f t="shared" si="91"/>
        <v>0</v>
      </c>
      <c r="R115" s="5">
        <f t="shared" si="91"/>
        <v>0</v>
      </c>
      <c r="S115" s="5">
        <f t="shared" si="91"/>
        <v>0</v>
      </c>
      <c r="T115" s="5">
        <f t="shared" si="91"/>
        <v>0</v>
      </c>
      <c r="U115" s="5">
        <f t="shared" si="91"/>
        <v>0</v>
      </c>
      <c r="V115" s="12">
        <f t="shared" si="56"/>
        <v>0</v>
      </c>
      <c r="W115" s="12">
        <f t="shared" si="57"/>
        <v>0</v>
      </c>
      <c r="X115" s="3">
        <f t="shared" si="58"/>
        <v>0</v>
      </c>
      <c r="Y115" s="4">
        <f t="shared" si="59"/>
        <v>2</v>
      </c>
      <c r="Z115" s="4">
        <v>5</v>
      </c>
      <c r="AA115" s="4">
        <f t="shared" si="60"/>
        <v>9</v>
      </c>
      <c r="AB115" s="9">
        <f>SUM(AB99:AB114)</f>
        <v>283</v>
      </c>
    </row>
    <row r="116" spans="2:28" x14ac:dyDescent="0.3">
      <c r="B116" t="str">
        <f t="shared" si="52"/>
        <v>TJ Williams</v>
      </c>
      <c r="C116" s="5">
        <f t="shared" ref="C116:K116" si="92">+C68+C92</f>
        <v>0</v>
      </c>
      <c r="D116" s="5">
        <f t="shared" si="92"/>
        <v>0</v>
      </c>
      <c r="E116" s="5">
        <f t="shared" si="92"/>
        <v>0</v>
      </c>
      <c r="F116" s="5">
        <f t="shared" si="92"/>
        <v>0</v>
      </c>
      <c r="G116" s="5">
        <f t="shared" si="92"/>
        <v>0</v>
      </c>
      <c r="H116" s="5">
        <f t="shared" si="92"/>
        <v>0</v>
      </c>
      <c r="I116" s="5">
        <f t="shared" si="92"/>
        <v>0</v>
      </c>
      <c r="J116" s="5">
        <f t="shared" si="92"/>
        <v>0</v>
      </c>
      <c r="K116" s="5">
        <f t="shared" si="92"/>
        <v>0</v>
      </c>
      <c r="L116" s="12">
        <f t="shared" si="54"/>
        <v>0</v>
      </c>
      <c r="M116" s="5">
        <f t="shared" ref="M116:U116" si="93">+M68+M92</f>
        <v>0</v>
      </c>
      <c r="N116" s="5">
        <f t="shared" si="93"/>
        <v>0</v>
      </c>
      <c r="O116" s="5">
        <f t="shared" si="93"/>
        <v>0</v>
      </c>
      <c r="P116" s="5">
        <f t="shared" si="93"/>
        <v>0</v>
      </c>
      <c r="Q116" s="5">
        <f t="shared" si="93"/>
        <v>0</v>
      </c>
      <c r="R116" s="5">
        <f t="shared" si="93"/>
        <v>0</v>
      </c>
      <c r="S116" s="5">
        <f t="shared" si="93"/>
        <v>0</v>
      </c>
      <c r="T116" s="5">
        <f t="shared" si="93"/>
        <v>0</v>
      </c>
      <c r="U116" s="5">
        <f t="shared" si="93"/>
        <v>0</v>
      </c>
      <c r="V116" s="12">
        <f t="shared" si="56"/>
        <v>0</v>
      </c>
      <c r="W116" s="12">
        <f t="shared" si="57"/>
        <v>0</v>
      </c>
      <c r="X116" s="3">
        <f t="shared" si="58"/>
        <v>0</v>
      </c>
      <c r="Y116" s="4">
        <f t="shared" si="59"/>
        <v>2</v>
      </c>
      <c r="Z116" s="4">
        <v>5</v>
      </c>
      <c r="AA116" s="4">
        <f t="shared" si="60"/>
        <v>9</v>
      </c>
    </row>
    <row r="117" spans="2:28" x14ac:dyDescent="0.3">
      <c r="B117" t="str">
        <f t="shared" si="52"/>
        <v>Brian McGovern</v>
      </c>
      <c r="C117" s="5">
        <f t="shared" ref="C117:K117" si="94">+C69+C93</f>
        <v>-12</v>
      </c>
      <c r="D117" s="5">
        <f t="shared" si="94"/>
        <v>0</v>
      </c>
      <c r="E117" s="5">
        <f t="shared" si="94"/>
        <v>0</v>
      </c>
      <c r="F117" s="5">
        <f t="shared" si="94"/>
        <v>0</v>
      </c>
      <c r="G117" s="5">
        <f t="shared" si="94"/>
        <v>0</v>
      </c>
      <c r="H117" s="5">
        <f t="shared" si="94"/>
        <v>0</v>
      </c>
      <c r="I117" s="5">
        <f t="shared" si="94"/>
        <v>0</v>
      </c>
      <c r="J117" s="5">
        <f t="shared" si="94"/>
        <v>0</v>
      </c>
      <c r="K117" s="5">
        <f t="shared" si="94"/>
        <v>0</v>
      </c>
      <c r="L117" s="12">
        <f t="shared" si="54"/>
        <v>-12</v>
      </c>
      <c r="M117" s="5">
        <f t="shared" ref="M117:U117" si="95">+M69+M93</f>
        <v>0</v>
      </c>
      <c r="N117" s="5">
        <f t="shared" si="95"/>
        <v>0</v>
      </c>
      <c r="O117" s="5">
        <f t="shared" si="95"/>
        <v>0</v>
      </c>
      <c r="P117" s="5">
        <f t="shared" si="95"/>
        <v>0</v>
      </c>
      <c r="Q117" s="5">
        <f t="shared" si="95"/>
        <v>0</v>
      </c>
      <c r="R117" s="5">
        <f t="shared" si="95"/>
        <v>0</v>
      </c>
      <c r="S117" s="5">
        <f t="shared" si="95"/>
        <v>0</v>
      </c>
      <c r="T117" s="5">
        <f t="shared" si="95"/>
        <v>0</v>
      </c>
      <c r="U117" s="5">
        <f t="shared" si="95"/>
        <v>0</v>
      </c>
      <c r="V117" s="12">
        <f t="shared" si="56"/>
        <v>0</v>
      </c>
      <c r="W117" s="12">
        <f t="shared" si="57"/>
        <v>-12</v>
      </c>
      <c r="X117" s="3">
        <f t="shared" si="58"/>
        <v>-3.5999999999999996</v>
      </c>
      <c r="Y117" s="4">
        <f t="shared" si="59"/>
        <v>2</v>
      </c>
      <c r="Z117" s="4">
        <v>5</v>
      </c>
      <c r="AA117" s="4">
        <f t="shared" si="60"/>
        <v>9</v>
      </c>
    </row>
    <row r="118" spans="2:28" x14ac:dyDescent="0.3">
      <c r="B118" t="str">
        <f t="shared" si="52"/>
        <v>Dave Keyser</v>
      </c>
      <c r="C118" s="5">
        <f t="shared" ref="C118:K118" si="96">+C70+C94</f>
        <v>-8</v>
      </c>
      <c r="D118" s="5">
        <f t="shared" si="96"/>
        <v>6</v>
      </c>
      <c r="E118" s="5">
        <f t="shared" si="96"/>
        <v>14</v>
      </c>
      <c r="F118" s="5">
        <f t="shared" si="96"/>
        <v>0</v>
      </c>
      <c r="G118" s="5">
        <f t="shared" si="96"/>
        <v>0</v>
      </c>
      <c r="H118" s="5">
        <f t="shared" si="96"/>
        <v>0</v>
      </c>
      <c r="I118" s="5">
        <f t="shared" si="96"/>
        <v>0</v>
      </c>
      <c r="J118" s="5">
        <f t="shared" si="96"/>
        <v>0</v>
      </c>
      <c r="K118" s="5">
        <f t="shared" si="96"/>
        <v>0</v>
      </c>
      <c r="L118" s="12">
        <f t="shared" si="54"/>
        <v>12</v>
      </c>
      <c r="M118" s="5">
        <f t="shared" ref="M118:U118" si="97">+M70+M94</f>
        <v>0</v>
      </c>
      <c r="N118" s="5">
        <f t="shared" si="97"/>
        <v>0</v>
      </c>
      <c r="O118" s="5">
        <f t="shared" si="97"/>
        <v>0</v>
      </c>
      <c r="P118" s="5">
        <f t="shared" si="97"/>
        <v>0</v>
      </c>
      <c r="Q118" s="5">
        <f t="shared" si="97"/>
        <v>0</v>
      </c>
      <c r="R118" s="5">
        <f t="shared" si="97"/>
        <v>0</v>
      </c>
      <c r="S118" s="5">
        <f t="shared" si="97"/>
        <v>0</v>
      </c>
      <c r="T118" s="5">
        <f t="shared" si="97"/>
        <v>0</v>
      </c>
      <c r="U118" s="5">
        <f t="shared" si="97"/>
        <v>0</v>
      </c>
      <c r="V118" s="12">
        <f t="shared" si="56"/>
        <v>0</v>
      </c>
      <c r="W118" s="12">
        <f t="shared" si="57"/>
        <v>12</v>
      </c>
      <c r="X118" s="3">
        <f t="shared" si="58"/>
        <v>3.5999999999999996</v>
      </c>
      <c r="Y118" s="4">
        <f t="shared" si="59"/>
        <v>2</v>
      </c>
      <c r="Z118" s="4">
        <v>5</v>
      </c>
      <c r="AA118" s="4">
        <f t="shared" si="60"/>
        <v>9</v>
      </c>
    </row>
    <row r="119" spans="2:28" x14ac:dyDescent="0.3">
      <c r="B119" t="str">
        <f t="shared" si="52"/>
        <v>Jack Sullivan</v>
      </c>
      <c r="C119" s="5">
        <f t="shared" ref="C119:K119" si="98">+C71+C95</f>
        <v>-12</v>
      </c>
      <c r="D119" s="5">
        <f t="shared" si="98"/>
        <v>0</v>
      </c>
      <c r="E119" s="5">
        <f t="shared" si="98"/>
        <v>0</v>
      </c>
      <c r="F119" s="5">
        <f t="shared" si="98"/>
        <v>0</v>
      </c>
      <c r="G119" s="5">
        <f t="shared" si="98"/>
        <v>0</v>
      </c>
      <c r="H119" s="5">
        <f t="shared" si="98"/>
        <v>0</v>
      </c>
      <c r="I119" s="5">
        <f t="shared" si="98"/>
        <v>0</v>
      </c>
      <c r="J119" s="5">
        <f t="shared" si="98"/>
        <v>0</v>
      </c>
      <c r="K119" s="5">
        <f t="shared" si="98"/>
        <v>0</v>
      </c>
      <c r="L119" s="12">
        <f t="shared" si="54"/>
        <v>-12</v>
      </c>
      <c r="M119" s="5">
        <f t="shared" ref="M119:U119" si="99">+M71+M95</f>
        <v>0</v>
      </c>
      <c r="N119" s="5">
        <f t="shared" si="99"/>
        <v>0</v>
      </c>
      <c r="O119" s="5">
        <f t="shared" si="99"/>
        <v>0</v>
      </c>
      <c r="P119" s="5">
        <f t="shared" si="99"/>
        <v>0</v>
      </c>
      <c r="Q119" s="5">
        <f t="shared" si="99"/>
        <v>0</v>
      </c>
      <c r="R119" s="5">
        <f t="shared" si="99"/>
        <v>0</v>
      </c>
      <c r="S119" s="5">
        <f t="shared" si="99"/>
        <v>0</v>
      </c>
      <c r="T119" s="5">
        <f t="shared" si="99"/>
        <v>0</v>
      </c>
      <c r="U119" s="5">
        <f t="shared" si="99"/>
        <v>0</v>
      </c>
      <c r="V119" s="12">
        <f t="shared" si="56"/>
        <v>0</v>
      </c>
      <c r="W119" s="12">
        <f t="shared" si="57"/>
        <v>-12</v>
      </c>
      <c r="X119" s="3">
        <f t="shared" si="58"/>
        <v>-3.5999999999999996</v>
      </c>
      <c r="Y119" s="4">
        <f t="shared" si="59"/>
        <v>2</v>
      </c>
      <c r="Z119" s="4">
        <v>5</v>
      </c>
      <c r="AA119" s="4">
        <f t="shared" si="60"/>
        <v>9</v>
      </c>
    </row>
    <row r="120" spans="2:28" x14ac:dyDescent="0.3">
      <c r="B120" t="str">
        <f t="shared" si="52"/>
        <v>Chris Flynn</v>
      </c>
      <c r="C120" s="5">
        <f t="shared" ref="C120:K120" si="100">+C72+C96</f>
        <v>-8</v>
      </c>
      <c r="D120" s="5">
        <f t="shared" si="100"/>
        <v>0</v>
      </c>
      <c r="E120" s="5">
        <f t="shared" si="100"/>
        <v>0</v>
      </c>
      <c r="F120" s="5">
        <f t="shared" si="100"/>
        <v>0</v>
      </c>
      <c r="G120" s="5">
        <f t="shared" si="100"/>
        <v>0</v>
      </c>
      <c r="H120" s="5">
        <f t="shared" si="100"/>
        <v>0</v>
      </c>
      <c r="I120" s="5">
        <f t="shared" si="100"/>
        <v>0</v>
      </c>
      <c r="J120" s="5">
        <f t="shared" si="100"/>
        <v>0</v>
      </c>
      <c r="K120" s="5">
        <f t="shared" si="100"/>
        <v>0</v>
      </c>
      <c r="L120" s="12">
        <f t="shared" si="54"/>
        <v>-8</v>
      </c>
      <c r="M120" s="5">
        <f t="shared" ref="M120:U120" si="101">+M72+M96</f>
        <v>0</v>
      </c>
      <c r="N120" s="5">
        <f t="shared" si="101"/>
        <v>0</v>
      </c>
      <c r="O120" s="5">
        <f t="shared" si="101"/>
        <v>0</v>
      </c>
      <c r="P120" s="5">
        <f t="shared" si="101"/>
        <v>0</v>
      </c>
      <c r="Q120" s="5">
        <f t="shared" si="101"/>
        <v>0</v>
      </c>
      <c r="R120" s="5">
        <f t="shared" si="101"/>
        <v>0</v>
      </c>
      <c r="S120" s="5">
        <f t="shared" si="101"/>
        <v>0</v>
      </c>
      <c r="T120" s="5">
        <f t="shared" si="101"/>
        <v>0</v>
      </c>
      <c r="U120" s="5">
        <f t="shared" si="101"/>
        <v>0</v>
      </c>
      <c r="V120" s="12">
        <f t="shared" si="56"/>
        <v>0</v>
      </c>
      <c r="W120" s="12">
        <f t="shared" si="57"/>
        <v>-8</v>
      </c>
      <c r="X120" s="3">
        <f t="shared" si="58"/>
        <v>-2.4</v>
      </c>
      <c r="Y120" s="4">
        <f t="shared" si="59"/>
        <v>2</v>
      </c>
      <c r="Z120" s="4">
        <v>5</v>
      </c>
      <c r="AA120" s="4">
        <f t="shared" si="60"/>
        <v>9</v>
      </c>
    </row>
    <row r="121" spans="2:28" x14ac:dyDescent="0.3">
      <c r="B121" t="str">
        <f>+B98</f>
        <v>Net</v>
      </c>
      <c r="C121" s="5">
        <f>+C97+C73</f>
        <v>-2</v>
      </c>
      <c r="D121" s="5">
        <f t="shared" ref="D121:W121" si="102">+D97+D73</f>
        <v>36</v>
      </c>
      <c r="E121" s="5">
        <f t="shared" si="102"/>
        <v>26</v>
      </c>
      <c r="F121" s="5">
        <f t="shared" si="102"/>
        <v>6</v>
      </c>
      <c r="G121" s="5">
        <f t="shared" si="102"/>
        <v>4</v>
      </c>
      <c r="H121" s="5">
        <f t="shared" si="102"/>
        <v>0</v>
      </c>
      <c r="I121" s="5">
        <f t="shared" si="102"/>
        <v>0</v>
      </c>
      <c r="J121" s="5">
        <f t="shared" si="102"/>
        <v>0</v>
      </c>
      <c r="K121" s="5">
        <f t="shared" si="102"/>
        <v>0</v>
      </c>
      <c r="L121" s="12">
        <f t="shared" si="102"/>
        <v>0</v>
      </c>
      <c r="M121" s="5">
        <f t="shared" si="102"/>
        <v>0</v>
      </c>
      <c r="N121" s="5">
        <f t="shared" si="102"/>
        <v>0</v>
      </c>
      <c r="O121" s="5">
        <f t="shared" si="102"/>
        <v>0</v>
      </c>
      <c r="P121" s="5">
        <f t="shared" si="102"/>
        <v>0</v>
      </c>
      <c r="Q121" s="5">
        <f t="shared" si="102"/>
        <v>0</v>
      </c>
      <c r="R121" s="5">
        <f t="shared" si="102"/>
        <v>0</v>
      </c>
      <c r="S121" s="5">
        <f t="shared" si="102"/>
        <v>0</v>
      </c>
      <c r="T121" s="5">
        <f t="shared" si="102"/>
        <v>0</v>
      </c>
      <c r="U121" s="5">
        <f t="shared" si="102"/>
        <v>0</v>
      </c>
      <c r="V121" s="12">
        <f t="shared" si="102"/>
        <v>0</v>
      </c>
      <c r="W121" s="12">
        <f t="shared" si="102"/>
        <v>0</v>
      </c>
      <c r="X121" s="3">
        <f t="shared" si="58"/>
        <v>0</v>
      </c>
      <c r="Y121" s="4">
        <f t="shared" si="59"/>
        <v>2</v>
      </c>
      <c r="Z121" s="4">
        <v>5</v>
      </c>
      <c r="AA121" s="4">
        <f t="shared" si="60"/>
        <v>9</v>
      </c>
    </row>
    <row r="122" spans="2:28" x14ac:dyDescent="0.3">
      <c r="C122" s="5"/>
      <c r="D122" s="5"/>
      <c r="E122" s="5"/>
      <c r="F122" s="5"/>
      <c r="G122" s="5"/>
      <c r="H122" s="5"/>
      <c r="I122" s="5"/>
      <c r="J122" s="5"/>
      <c r="K122" s="5"/>
      <c r="L122" s="12"/>
      <c r="M122" s="5"/>
      <c r="N122" s="5"/>
      <c r="O122" s="5"/>
      <c r="P122" s="5"/>
      <c r="Q122" s="5"/>
      <c r="R122" s="5"/>
      <c r="S122" s="5"/>
      <c r="T122" s="5"/>
      <c r="U122" s="5"/>
      <c r="V122" s="12"/>
      <c r="W122" s="12"/>
      <c r="X122" s="3"/>
      <c r="Y122" s="4"/>
      <c r="Z122" s="4"/>
      <c r="AA122" s="4"/>
    </row>
    <row r="123" spans="2:28" x14ac:dyDescent="0.3">
      <c r="C123" s="5"/>
      <c r="D123" s="5"/>
      <c r="E123" s="5"/>
      <c r="F123" s="5"/>
      <c r="G123" s="5"/>
      <c r="H123" s="5"/>
      <c r="I123" s="5"/>
      <c r="J123" s="5"/>
      <c r="K123" s="5"/>
      <c r="L123" s="12"/>
      <c r="M123" s="5"/>
      <c r="N123" s="5"/>
      <c r="O123" s="5"/>
      <c r="P123" s="5"/>
      <c r="Q123" s="5"/>
      <c r="R123" s="5"/>
      <c r="S123" s="5"/>
      <c r="T123" s="5"/>
      <c r="U123" s="5"/>
      <c r="V123" s="12"/>
      <c r="W123" s="12"/>
      <c r="X123" s="3"/>
      <c r="Y123" s="4"/>
      <c r="Z123" s="4"/>
      <c r="AA1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3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D10" sqref="AD10"/>
    </sheetView>
  </sheetViews>
  <sheetFormatPr defaultRowHeight="14.4" x14ac:dyDescent="0.3"/>
  <cols>
    <col min="2" max="2" width="18.6640625" customWidth="1"/>
    <col min="3" max="3" width="6.109375" customWidth="1"/>
    <col min="4" max="4" width="7.109375" customWidth="1"/>
    <col min="5" max="5" width="6.109375" customWidth="1"/>
    <col min="6" max="6" width="5.88671875" customWidth="1"/>
    <col min="7" max="7" width="6" customWidth="1"/>
    <col min="8" max="8" width="6.33203125" customWidth="1"/>
    <col min="9" max="9" width="5.77734375" customWidth="1"/>
    <col min="10" max="10" width="5.109375" customWidth="1"/>
    <col min="11" max="11" width="5.88671875" customWidth="1"/>
    <col min="12" max="12" width="6.6640625" customWidth="1"/>
    <col min="13" max="13" width="6.33203125" customWidth="1"/>
    <col min="14" max="14" width="5.88671875" customWidth="1"/>
    <col min="15" max="15" width="6.6640625" customWidth="1"/>
    <col min="16" max="16" width="7.33203125" customWidth="1"/>
    <col min="17" max="17" width="5.33203125" customWidth="1"/>
    <col min="18" max="18" width="6.33203125" customWidth="1"/>
    <col min="19" max="19" width="6.109375" customWidth="1"/>
    <col min="20" max="20" width="6" customWidth="1"/>
    <col min="21" max="22" width="6.6640625" customWidth="1"/>
  </cols>
  <sheetData>
    <row r="1" spans="1:27" x14ac:dyDescent="0.3">
      <c r="X1" t="s">
        <v>14</v>
      </c>
      <c r="Y1" t="s">
        <v>14</v>
      </c>
      <c r="Z1" t="s">
        <v>44</v>
      </c>
      <c r="AA1" t="s">
        <v>21</v>
      </c>
    </row>
    <row r="2" spans="1:27" x14ac:dyDescent="0.3">
      <c r="B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16" t="s">
        <v>17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17" t="s">
        <v>18</v>
      </c>
      <c r="W2" s="6" t="s">
        <v>1</v>
      </c>
      <c r="X2" t="s">
        <v>13</v>
      </c>
      <c r="Y2" t="s">
        <v>16</v>
      </c>
      <c r="Z2" t="s">
        <v>16</v>
      </c>
      <c r="AA2" t="s">
        <v>13</v>
      </c>
    </row>
    <row r="3" spans="1:27" x14ac:dyDescent="0.3">
      <c r="A3">
        <v>1</v>
      </c>
      <c r="B3" t="s">
        <v>31</v>
      </c>
      <c r="C3" s="5">
        <v>5</v>
      </c>
      <c r="D3" s="5">
        <v>4</v>
      </c>
      <c r="E3" s="5">
        <v>5</v>
      </c>
      <c r="F3" s="5">
        <v>6</v>
      </c>
      <c r="G3" s="5">
        <v>6</v>
      </c>
      <c r="H3" s="5">
        <v>4</v>
      </c>
      <c r="I3" s="5">
        <v>6</v>
      </c>
      <c r="J3" s="5">
        <v>5</v>
      </c>
      <c r="K3" s="5">
        <v>6</v>
      </c>
      <c r="L3" s="12">
        <f t="shared" ref="L3:L24" si="0">SUM(C3:K3)</f>
        <v>47</v>
      </c>
      <c r="M3" s="5">
        <v>5</v>
      </c>
      <c r="N3" s="5">
        <v>7</v>
      </c>
      <c r="O3" s="5">
        <v>5</v>
      </c>
      <c r="P3" s="5">
        <v>7</v>
      </c>
      <c r="Q3" s="5">
        <v>3</v>
      </c>
      <c r="R3" s="5">
        <v>4</v>
      </c>
      <c r="S3" s="5">
        <v>6</v>
      </c>
      <c r="T3" s="5">
        <v>5</v>
      </c>
      <c r="U3" s="5">
        <v>6</v>
      </c>
      <c r="V3" s="12">
        <f t="shared" ref="V3:V15" si="1">SUM(M3:U3)</f>
        <v>48</v>
      </c>
      <c r="W3" s="12">
        <f t="shared" ref="W3:W24" si="2">+L3+V3</f>
        <v>95</v>
      </c>
      <c r="X3" s="5">
        <v>29.75</v>
      </c>
      <c r="Y3" s="5">
        <f>+W3-X3</f>
        <v>65.25</v>
      </c>
      <c r="Z3" s="9">
        <f>+Y3+'day 1'!Z3</f>
        <v>133.25</v>
      </c>
      <c r="AA3" s="5">
        <f>(W3-70)*0.875</f>
        <v>21.875</v>
      </c>
    </row>
    <row r="4" spans="1:27" x14ac:dyDescent="0.3">
      <c r="A4">
        <f>+A3+1</f>
        <v>2</v>
      </c>
      <c r="B4" t="s">
        <v>11</v>
      </c>
      <c r="C4" s="5">
        <v>5</v>
      </c>
      <c r="D4" s="5">
        <v>6</v>
      </c>
      <c r="E4" s="5">
        <v>5</v>
      </c>
      <c r="F4" s="5">
        <v>5</v>
      </c>
      <c r="G4" s="5">
        <v>5</v>
      </c>
      <c r="H4" s="5">
        <v>4</v>
      </c>
      <c r="I4" s="5">
        <v>6</v>
      </c>
      <c r="J4" s="5">
        <v>6</v>
      </c>
      <c r="K4" s="5">
        <v>6</v>
      </c>
      <c r="L4" s="12">
        <f t="shared" si="0"/>
        <v>48</v>
      </c>
      <c r="M4" s="5">
        <v>4</v>
      </c>
      <c r="N4" s="5">
        <v>6</v>
      </c>
      <c r="O4" s="5">
        <v>4</v>
      </c>
      <c r="P4" s="5">
        <v>7</v>
      </c>
      <c r="Q4" s="5">
        <v>3</v>
      </c>
      <c r="R4" s="5">
        <v>5</v>
      </c>
      <c r="S4" s="5">
        <v>4</v>
      </c>
      <c r="T4" s="5">
        <v>5</v>
      </c>
      <c r="U4" s="5">
        <v>5</v>
      </c>
      <c r="V4" s="12">
        <f t="shared" si="1"/>
        <v>43</v>
      </c>
      <c r="W4" s="12">
        <f t="shared" si="2"/>
        <v>91</v>
      </c>
      <c r="X4" s="5">
        <v>14</v>
      </c>
      <c r="Y4" s="5">
        <f t="shared" ref="Y4:Y24" si="3">+W4-X4</f>
        <v>77</v>
      </c>
      <c r="Z4" s="14">
        <f>+Y4+'day 1'!Z4</f>
        <v>140.25</v>
      </c>
      <c r="AA4" s="5">
        <f t="shared" ref="AA4:AA24" si="4">(W4-70)*0.875</f>
        <v>18.375</v>
      </c>
    </row>
    <row r="5" spans="1:27" x14ac:dyDescent="0.3">
      <c r="A5">
        <f t="shared" ref="A5:A24" si="5">+A4+1</f>
        <v>3</v>
      </c>
      <c r="B5" t="s">
        <v>3</v>
      </c>
      <c r="C5" s="5">
        <v>4</v>
      </c>
      <c r="D5" s="5">
        <v>6</v>
      </c>
      <c r="E5" s="5">
        <v>7</v>
      </c>
      <c r="F5" s="5">
        <v>8</v>
      </c>
      <c r="G5" s="5">
        <v>4</v>
      </c>
      <c r="H5" s="5">
        <v>4</v>
      </c>
      <c r="I5" s="5">
        <v>7</v>
      </c>
      <c r="J5" s="5">
        <v>6</v>
      </c>
      <c r="K5" s="5">
        <v>4</v>
      </c>
      <c r="L5" s="12">
        <f t="shared" si="0"/>
        <v>50</v>
      </c>
      <c r="M5" s="5">
        <v>5</v>
      </c>
      <c r="N5" s="5">
        <v>7</v>
      </c>
      <c r="O5" s="5">
        <v>5</v>
      </c>
      <c r="P5" s="5">
        <v>9</v>
      </c>
      <c r="Q5" s="5">
        <v>4</v>
      </c>
      <c r="R5" s="5">
        <v>4</v>
      </c>
      <c r="S5" s="5">
        <v>6</v>
      </c>
      <c r="T5" s="5">
        <v>6</v>
      </c>
      <c r="U5" s="5">
        <v>4</v>
      </c>
      <c r="V5" s="12">
        <f t="shared" si="1"/>
        <v>50</v>
      </c>
      <c r="W5" s="12">
        <f t="shared" si="2"/>
        <v>100</v>
      </c>
      <c r="X5" s="5">
        <v>30.625</v>
      </c>
      <c r="Y5" s="5">
        <f t="shared" si="3"/>
        <v>69.375</v>
      </c>
      <c r="Z5" s="14">
        <f>+Y5+'day 1'!Z5</f>
        <v>144.625</v>
      </c>
      <c r="AA5" s="5">
        <f t="shared" si="4"/>
        <v>26.25</v>
      </c>
    </row>
    <row r="6" spans="1:27" x14ac:dyDescent="0.3">
      <c r="A6">
        <f t="shared" si="5"/>
        <v>4</v>
      </c>
      <c r="B6" t="s">
        <v>4</v>
      </c>
      <c r="C6" s="5">
        <v>4</v>
      </c>
      <c r="D6" s="5">
        <v>5</v>
      </c>
      <c r="E6" s="5">
        <v>5</v>
      </c>
      <c r="F6" s="5">
        <v>5</v>
      </c>
      <c r="G6" s="5">
        <v>4</v>
      </c>
      <c r="H6" s="5">
        <v>3</v>
      </c>
      <c r="I6" s="5">
        <v>6</v>
      </c>
      <c r="J6" s="5">
        <v>5</v>
      </c>
      <c r="K6" s="5">
        <v>5</v>
      </c>
      <c r="L6" s="12">
        <f t="shared" si="0"/>
        <v>42</v>
      </c>
      <c r="M6" s="5">
        <v>4</v>
      </c>
      <c r="N6" s="5">
        <v>4</v>
      </c>
      <c r="O6" s="5">
        <v>5</v>
      </c>
      <c r="P6" s="5">
        <v>7</v>
      </c>
      <c r="Q6" s="5">
        <v>3</v>
      </c>
      <c r="R6" s="5">
        <v>4</v>
      </c>
      <c r="S6" s="5">
        <v>4</v>
      </c>
      <c r="T6" s="5">
        <v>5</v>
      </c>
      <c r="U6" s="5">
        <v>6</v>
      </c>
      <c r="V6" s="12">
        <f t="shared" si="1"/>
        <v>42</v>
      </c>
      <c r="W6" s="12">
        <f t="shared" si="2"/>
        <v>84</v>
      </c>
      <c r="X6" s="5">
        <v>15.75</v>
      </c>
      <c r="Y6" s="5">
        <f t="shared" si="3"/>
        <v>68.25</v>
      </c>
      <c r="Z6" s="9">
        <f>+Y6+'day 1'!Z6</f>
        <v>136.125</v>
      </c>
      <c r="AA6" s="5">
        <f t="shared" si="4"/>
        <v>12.25</v>
      </c>
    </row>
    <row r="7" spans="1:27" x14ac:dyDescent="0.3">
      <c r="A7">
        <f t="shared" si="5"/>
        <v>5</v>
      </c>
      <c r="B7" t="s">
        <v>5</v>
      </c>
      <c r="C7" s="5">
        <v>4</v>
      </c>
      <c r="D7" s="5">
        <v>4</v>
      </c>
      <c r="E7" s="5">
        <v>6</v>
      </c>
      <c r="F7" s="5">
        <v>5</v>
      </c>
      <c r="G7" s="5">
        <v>4</v>
      </c>
      <c r="H7" s="5">
        <v>5</v>
      </c>
      <c r="I7" s="5">
        <v>5</v>
      </c>
      <c r="J7" s="5">
        <v>6</v>
      </c>
      <c r="K7" s="5">
        <v>6</v>
      </c>
      <c r="L7" s="12">
        <f t="shared" si="0"/>
        <v>45</v>
      </c>
      <c r="M7" s="5">
        <v>5</v>
      </c>
      <c r="N7" s="5">
        <v>5</v>
      </c>
      <c r="O7" s="5">
        <v>5</v>
      </c>
      <c r="P7" s="5">
        <v>8</v>
      </c>
      <c r="Q7" s="5">
        <v>4</v>
      </c>
      <c r="R7" s="5">
        <v>4</v>
      </c>
      <c r="S7" s="5">
        <v>4</v>
      </c>
      <c r="T7" s="5">
        <v>6</v>
      </c>
      <c r="U7" s="5">
        <v>5</v>
      </c>
      <c r="V7" s="12">
        <f t="shared" si="1"/>
        <v>46</v>
      </c>
      <c r="W7" s="12">
        <f t="shared" si="2"/>
        <v>91</v>
      </c>
      <c r="X7" s="5">
        <v>21.875</v>
      </c>
      <c r="Y7" s="5">
        <f t="shared" si="3"/>
        <v>69.125</v>
      </c>
      <c r="Z7" s="14">
        <f>+Y7+'day 1'!Z7</f>
        <v>145.75</v>
      </c>
      <c r="AA7" s="5">
        <f t="shared" si="4"/>
        <v>18.375</v>
      </c>
    </row>
    <row r="8" spans="1:27" x14ac:dyDescent="0.3">
      <c r="A8">
        <f t="shared" si="5"/>
        <v>6</v>
      </c>
      <c r="B8" t="s">
        <v>6</v>
      </c>
      <c r="C8" s="5">
        <v>4</v>
      </c>
      <c r="D8" s="5">
        <v>3</v>
      </c>
      <c r="E8" s="5">
        <v>6</v>
      </c>
      <c r="F8" s="5">
        <v>5</v>
      </c>
      <c r="G8" s="5">
        <v>4</v>
      </c>
      <c r="H8" s="5">
        <v>4</v>
      </c>
      <c r="I8" s="5">
        <v>6</v>
      </c>
      <c r="J8" s="5">
        <v>5</v>
      </c>
      <c r="K8" s="5">
        <v>7</v>
      </c>
      <c r="L8" s="12">
        <f t="shared" si="0"/>
        <v>44</v>
      </c>
      <c r="M8" s="5">
        <v>6</v>
      </c>
      <c r="N8" s="5">
        <v>6</v>
      </c>
      <c r="O8" s="5">
        <v>5</v>
      </c>
      <c r="P8" s="5">
        <v>5</v>
      </c>
      <c r="Q8" s="5">
        <v>6</v>
      </c>
      <c r="R8" s="5">
        <v>4</v>
      </c>
      <c r="S8" s="5">
        <v>5</v>
      </c>
      <c r="T8" s="5">
        <v>5</v>
      </c>
      <c r="U8" s="5">
        <v>5</v>
      </c>
      <c r="V8" s="12">
        <f t="shared" si="1"/>
        <v>47</v>
      </c>
      <c r="W8" s="12">
        <f t="shared" si="2"/>
        <v>91</v>
      </c>
      <c r="X8" s="5">
        <v>11.375</v>
      </c>
      <c r="Y8" s="5">
        <f t="shared" si="3"/>
        <v>79.625</v>
      </c>
      <c r="Z8" s="14">
        <f>+Y8+'day 1'!Z8</f>
        <v>138.125</v>
      </c>
      <c r="AA8" s="5">
        <f t="shared" si="4"/>
        <v>18.375</v>
      </c>
    </row>
    <row r="9" spans="1:27" x14ac:dyDescent="0.3">
      <c r="A9">
        <f t="shared" si="5"/>
        <v>7</v>
      </c>
      <c r="B9" t="s">
        <v>7</v>
      </c>
      <c r="C9" s="5">
        <v>9</v>
      </c>
      <c r="D9" s="5">
        <v>6</v>
      </c>
      <c r="E9" s="5">
        <v>8</v>
      </c>
      <c r="F9" s="5">
        <v>8</v>
      </c>
      <c r="G9" s="5">
        <v>6</v>
      </c>
      <c r="H9" s="5">
        <v>9</v>
      </c>
      <c r="I9" s="5">
        <v>10</v>
      </c>
      <c r="J9" s="5">
        <v>6</v>
      </c>
      <c r="K9" s="5">
        <v>5</v>
      </c>
      <c r="L9" s="12">
        <f t="shared" si="0"/>
        <v>67</v>
      </c>
      <c r="M9" s="5">
        <v>6</v>
      </c>
      <c r="N9" s="5">
        <v>7</v>
      </c>
      <c r="O9" s="5">
        <v>5</v>
      </c>
      <c r="P9" s="5">
        <v>7</v>
      </c>
      <c r="Q9" s="5">
        <v>7</v>
      </c>
      <c r="R9" s="5">
        <v>8</v>
      </c>
      <c r="S9" s="5">
        <v>7</v>
      </c>
      <c r="T9" s="5">
        <v>5</v>
      </c>
      <c r="U9" s="5">
        <v>8</v>
      </c>
      <c r="V9" s="12">
        <f t="shared" si="1"/>
        <v>60</v>
      </c>
      <c r="W9" s="12">
        <f t="shared" si="2"/>
        <v>127</v>
      </c>
      <c r="X9" s="5">
        <v>56.875</v>
      </c>
      <c r="Y9" s="5">
        <f t="shared" si="3"/>
        <v>70.125</v>
      </c>
      <c r="Z9" s="14">
        <f>+Y9+'day 1'!Z9</f>
        <v>148.25</v>
      </c>
      <c r="AA9" s="5">
        <f t="shared" si="4"/>
        <v>49.875</v>
      </c>
    </row>
    <row r="10" spans="1:27" x14ac:dyDescent="0.3">
      <c r="A10">
        <f t="shared" si="5"/>
        <v>8</v>
      </c>
      <c r="B10" t="s">
        <v>8</v>
      </c>
      <c r="C10" s="5">
        <v>6</v>
      </c>
      <c r="D10" s="5">
        <v>6</v>
      </c>
      <c r="E10" s="5">
        <v>5</v>
      </c>
      <c r="F10" s="5">
        <v>5</v>
      </c>
      <c r="G10" s="5">
        <v>3</v>
      </c>
      <c r="H10" s="5">
        <v>4</v>
      </c>
      <c r="I10" s="5">
        <v>5</v>
      </c>
      <c r="J10" s="5">
        <v>5</v>
      </c>
      <c r="K10" s="5">
        <v>6</v>
      </c>
      <c r="L10" s="12">
        <f t="shared" si="0"/>
        <v>45</v>
      </c>
      <c r="M10" s="5">
        <v>4</v>
      </c>
      <c r="N10" s="5">
        <v>7</v>
      </c>
      <c r="O10" s="5">
        <v>5</v>
      </c>
      <c r="P10" s="5">
        <v>6</v>
      </c>
      <c r="Q10" s="5">
        <v>5</v>
      </c>
      <c r="R10" s="5">
        <v>4</v>
      </c>
      <c r="S10" s="5">
        <v>5</v>
      </c>
      <c r="T10" s="5">
        <v>4</v>
      </c>
      <c r="U10" s="5">
        <v>6</v>
      </c>
      <c r="V10" s="12">
        <f t="shared" si="1"/>
        <v>46</v>
      </c>
      <c r="W10" s="12">
        <f t="shared" si="2"/>
        <v>91</v>
      </c>
      <c r="X10" s="5">
        <v>18.375</v>
      </c>
      <c r="Y10" s="5">
        <f t="shared" si="3"/>
        <v>72.625</v>
      </c>
      <c r="Z10" s="14">
        <f>+Y10+'day 1'!Z10</f>
        <v>148.75</v>
      </c>
      <c r="AA10" s="5">
        <f t="shared" si="4"/>
        <v>18.375</v>
      </c>
    </row>
    <row r="11" spans="1:27" x14ac:dyDescent="0.3">
      <c r="A11">
        <f t="shared" si="5"/>
        <v>9</v>
      </c>
      <c r="B11" t="s">
        <v>9</v>
      </c>
      <c r="C11" s="5">
        <v>5</v>
      </c>
      <c r="D11" s="5">
        <v>4</v>
      </c>
      <c r="E11" s="5">
        <v>4</v>
      </c>
      <c r="F11" s="5">
        <v>6</v>
      </c>
      <c r="G11" s="5">
        <v>3</v>
      </c>
      <c r="H11" s="5">
        <v>3</v>
      </c>
      <c r="I11" s="5">
        <v>6</v>
      </c>
      <c r="J11" s="5">
        <v>6</v>
      </c>
      <c r="K11" s="5">
        <v>5</v>
      </c>
      <c r="L11" s="12">
        <f t="shared" si="0"/>
        <v>42</v>
      </c>
      <c r="M11" s="5">
        <v>6</v>
      </c>
      <c r="N11" s="5">
        <v>5</v>
      </c>
      <c r="O11" s="5">
        <v>5</v>
      </c>
      <c r="P11" s="5">
        <v>7</v>
      </c>
      <c r="Q11" s="5">
        <v>5</v>
      </c>
      <c r="R11" s="5">
        <v>3</v>
      </c>
      <c r="S11" s="5">
        <v>7</v>
      </c>
      <c r="T11" s="5">
        <v>5</v>
      </c>
      <c r="U11" s="5">
        <v>5</v>
      </c>
      <c r="V11" s="12">
        <f t="shared" si="1"/>
        <v>48</v>
      </c>
      <c r="W11" s="12">
        <f t="shared" si="2"/>
        <v>90</v>
      </c>
      <c r="X11" s="5">
        <v>16.625</v>
      </c>
      <c r="Y11" s="5">
        <f t="shared" si="3"/>
        <v>73.375</v>
      </c>
      <c r="Z11" s="14">
        <f>+Y11+'day 1'!Z11</f>
        <v>146.625</v>
      </c>
      <c r="AA11" s="5">
        <f t="shared" si="4"/>
        <v>17.5</v>
      </c>
    </row>
    <row r="12" spans="1:27" x14ac:dyDescent="0.3">
      <c r="A12">
        <f t="shared" si="5"/>
        <v>10</v>
      </c>
      <c r="B12" t="s">
        <v>10</v>
      </c>
      <c r="C12" s="5">
        <v>4</v>
      </c>
      <c r="D12" s="5">
        <v>4</v>
      </c>
      <c r="E12" s="5">
        <v>5</v>
      </c>
      <c r="F12" s="5">
        <v>5</v>
      </c>
      <c r="G12" s="5">
        <v>4</v>
      </c>
      <c r="H12" s="5">
        <v>3</v>
      </c>
      <c r="I12" s="5">
        <v>4</v>
      </c>
      <c r="J12" s="5">
        <v>4</v>
      </c>
      <c r="K12" s="5">
        <v>4</v>
      </c>
      <c r="L12" s="12">
        <f t="shared" si="0"/>
        <v>37</v>
      </c>
      <c r="M12" s="5">
        <v>5</v>
      </c>
      <c r="N12" s="5">
        <v>4</v>
      </c>
      <c r="O12" s="5">
        <v>4</v>
      </c>
      <c r="P12" s="5">
        <v>6</v>
      </c>
      <c r="Q12" s="5">
        <v>2</v>
      </c>
      <c r="R12" s="5">
        <v>3</v>
      </c>
      <c r="S12" s="5">
        <v>6</v>
      </c>
      <c r="T12" s="5">
        <v>5</v>
      </c>
      <c r="U12" s="5">
        <v>4</v>
      </c>
      <c r="V12" s="12">
        <f t="shared" si="1"/>
        <v>39</v>
      </c>
      <c r="W12" s="12">
        <f t="shared" si="2"/>
        <v>76</v>
      </c>
      <c r="X12" s="5">
        <v>7</v>
      </c>
      <c r="Y12" s="5">
        <f t="shared" si="3"/>
        <v>69</v>
      </c>
      <c r="Z12" s="9">
        <f>+Y12+'day 1'!Z12</f>
        <v>133.875</v>
      </c>
      <c r="AA12" s="5">
        <f t="shared" si="4"/>
        <v>5.25</v>
      </c>
    </row>
    <row r="13" spans="1:27" x14ac:dyDescent="0.3">
      <c r="A13">
        <f t="shared" si="5"/>
        <v>11</v>
      </c>
      <c r="B13" t="s">
        <v>36</v>
      </c>
      <c r="C13" s="5">
        <v>4</v>
      </c>
      <c r="D13" s="5">
        <v>5</v>
      </c>
      <c r="E13" s="5">
        <v>4</v>
      </c>
      <c r="F13" s="5">
        <v>5</v>
      </c>
      <c r="G13" s="5">
        <v>3</v>
      </c>
      <c r="H13" s="5">
        <v>4</v>
      </c>
      <c r="I13" s="5">
        <v>5</v>
      </c>
      <c r="J13" s="5">
        <v>5</v>
      </c>
      <c r="K13" s="5">
        <v>6</v>
      </c>
      <c r="L13" s="12">
        <f t="shared" si="0"/>
        <v>41</v>
      </c>
      <c r="M13" s="5">
        <v>4</v>
      </c>
      <c r="N13" s="5">
        <v>5</v>
      </c>
      <c r="O13" s="5">
        <v>6</v>
      </c>
      <c r="P13" s="5">
        <v>5</v>
      </c>
      <c r="Q13" s="5">
        <v>3</v>
      </c>
      <c r="R13" s="5">
        <v>3</v>
      </c>
      <c r="S13" s="5">
        <v>5</v>
      </c>
      <c r="T13" s="5">
        <v>5</v>
      </c>
      <c r="U13" s="5">
        <v>4</v>
      </c>
      <c r="V13" s="12">
        <f>SUM(M13:U13)</f>
        <v>40</v>
      </c>
      <c r="W13" s="12">
        <f>+L13+V13</f>
        <v>81</v>
      </c>
      <c r="X13" s="5">
        <v>13.125</v>
      </c>
      <c r="Y13" s="5">
        <f t="shared" si="3"/>
        <v>67.875</v>
      </c>
      <c r="Z13" s="14">
        <f>+Y13+'day 1'!Z13</f>
        <v>147.875</v>
      </c>
      <c r="AA13" s="5">
        <f t="shared" si="4"/>
        <v>9.625</v>
      </c>
    </row>
    <row r="14" spans="1:27" x14ac:dyDescent="0.3">
      <c r="A14">
        <f t="shared" si="5"/>
        <v>12</v>
      </c>
      <c r="B14" t="s">
        <v>12</v>
      </c>
      <c r="C14" s="5">
        <v>4</v>
      </c>
      <c r="D14" s="5">
        <v>3</v>
      </c>
      <c r="E14" s="5">
        <v>5</v>
      </c>
      <c r="F14" s="5">
        <v>6</v>
      </c>
      <c r="G14" s="5">
        <v>3</v>
      </c>
      <c r="H14" s="5">
        <v>5</v>
      </c>
      <c r="I14" s="5">
        <v>5</v>
      </c>
      <c r="J14" s="5">
        <v>5</v>
      </c>
      <c r="K14" s="5">
        <v>6</v>
      </c>
      <c r="L14" s="12">
        <f t="shared" si="0"/>
        <v>42</v>
      </c>
      <c r="M14" s="5">
        <v>5</v>
      </c>
      <c r="N14" s="5">
        <v>7</v>
      </c>
      <c r="O14" s="5">
        <v>5</v>
      </c>
      <c r="P14" s="5">
        <v>7</v>
      </c>
      <c r="Q14" s="5">
        <v>4</v>
      </c>
      <c r="R14" s="5">
        <v>3</v>
      </c>
      <c r="S14" s="5">
        <v>6</v>
      </c>
      <c r="T14" s="5">
        <v>5</v>
      </c>
      <c r="U14" s="5">
        <v>6</v>
      </c>
      <c r="V14" s="12">
        <f t="shared" si="1"/>
        <v>48</v>
      </c>
      <c r="W14" s="12">
        <f t="shared" si="2"/>
        <v>90</v>
      </c>
      <c r="X14" s="5">
        <v>25.375</v>
      </c>
      <c r="Y14" s="5">
        <f t="shared" si="3"/>
        <v>64.625</v>
      </c>
      <c r="Z14" s="14">
        <f>+Y14+'day 1'!Z14</f>
        <v>138.25</v>
      </c>
      <c r="AA14" s="5">
        <f t="shared" si="4"/>
        <v>17.5</v>
      </c>
    </row>
    <row r="15" spans="1:27" x14ac:dyDescent="0.3">
      <c r="A15">
        <f t="shared" si="5"/>
        <v>13</v>
      </c>
      <c r="B15" t="s">
        <v>22</v>
      </c>
      <c r="C15" s="5">
        <v>7</v>
      </c>
      <c r="D15" s="5">
        <v>6</v>
      </c>
      <c r="E15" s="5">
        <v>5</v>
      </c>
      <c r="F15" s="5">
        <v>7</v>
      </c>
      <c r="G15" s="5">
        <v>4</v>
      </c>
      <c r="H15" s="5">
        <v>4</v>
      </c>
      <c r="I15" s="5">
        <v>6</v>
      </c>
      <c r="J15" s="5">
        <v>7</v>
      </c>
      <c r="K15" s="5">
        <v>3</v>
      </c>
      <c r="L15" s="12">
        <f t="shared" si="0"/>
        <v>49</v>
      </c>
      <c r="M15" s="5">
        <v>6</v>
      </c>
      <c r="N15" s="5">
        <v>5</v>
      </c>
      <c r="O15" s="5">
        <v>7</v>
      </c>
      <c r="P15" s="5">
        <v>7</v>
      </c>
      <c r="Q15" s="5">
        <v>4</v>
      </c>
      <c r="R15" s="5">
        <v>4</v>
      </c>
      <c r="S15" s="5">
        <v>7</v>
      </c>
      <c r="T15" s="5">
        <v>5</v>
      </c>
      <c r="U15" s="5">
        <v>5</v>
      </c>
      <c r="V15" s="12">
        <f t="shared" si="1"/>
        <v>50</v>
      </c>
      <c r="W15" s="12">
        <f t="shared" si="2"/>
        <v>99</v>
      </c>
      <c r="X15" s="5">
        <v>24.5</v>
      </c>
      <c r="Y15" s="5">
        <f t="shared" si="3"/>
        <v>74.5</v>
      </c>
      <c r="Z15" s="14">
        <f>+Y15+'day 1'!Z15</f>
        <v>144.5</v>
      </c>
      <c r="AA15" s="5">
        <f t="shared" si="4"/>
        <v>25.375</v>
      </c>
    </row>
    <row r="16" spans="1:27" x14ac:dyDescent="0.3">
      <c r="A16">
        <f t="shared" si="5"/>
        <v>14</v>
      </c>
      <c r="B16" t="s">
        <v>32</v>
      </c>
      <c r="C16" s="5">
        <v>5</v>
      </c>
      <c r="D16" s="5">
        <v>4</v>
      </c>
      <c r="E16" s="5">
        <v>6</v>
      </c>
      <c r="F16" s="5">
        <v>6</v>
      </c>
      <c r="G16" s="5">
        <v>4</v>
      </c>
      <c r="H16" s="5">
        <v>4</v>
      </c>
      <c r="I16" s="5">
        <v>4</v>
      </c>
      <c r="J16" s="5">
        <v>5</v>
      </c>
      <c r="K16" s="5">
        <v>4</v>
      </c>
      <c r="L16" s="12">
        <f t="shared" si="0"/>
        <v>42</v>
      </c>
      <c r="M16" s="5">
        <v>4</v>
      </c>
      <c r="N16" s="5">
        <v>6</v>
      </c>
      <c r="O16" s="5">
        <v>5</v>
      </c>
      <c r="P16" s="5">
        <v>4</v>
      </c>
      <c r="Q16" s="5">
        <v>3</v>
      </c>
      <c r="R16" s="5">
        <v>4</v>
      </c>
      <c r="S16" s="5">
        <v>4</v>
      </c>
      <c r="T16" s="5">
        <v>3</v>
      </c>
      <c r="U16" s="5">
        <v>5</v>
      </c>
      <c r="V16" s="12">
        <f t="shared" ref="V16:V24" si="6">SUM(M16:U16)</f>
        <v>38</v>
      </c>
      <c r="W16" s="12">
        <f t="shared" si="2"/>
        <v>80</v>
      </c>
      <c r="X16" s="5">
        <v>11.375</v>
      </c>
      <c r="Y16" s="5">
        <f t="shared" si="3"/>
        <v>68.625</v>
      </c>
      <c r="Z16" s="14">
        <f>+Y16+'day 1'!Z16</f>
        <v>137.625</v>
      </c>
      <c r="AA16" s="5">
        <f t="shared" si="4"/>
        <v>8.75</v>
      </c>
    </row>
    <row r="17" spans="1:29" x14ac:dyDescent="0.3">
      <c r="A17">
        <f t="shared" si="5"/>
        <v>15</v>
      </c>
      <c r="B17" t="s">
        <v>30</v>
      </c>
      <c r="C17" s="5">
        <v>4</v>
      </c>
      <c r="D17" s="5">
        <v>5</v>
      </c>
      <c r="E17" s="5">
        <v>7</v>
      </c>
      <c r="F17" s="5">
        <v>6</v>
      </c>
      <c r="G17" s="5">
        <v>4</v>
      </c>
      <c r="H17" s="5">
        <v>3</v>
      </c>
      <c r="I17" s="5">
        <v>5</v>
      </c>
      <c r="J17" s="5">
        <v>5</v>
      </c>
      <c r="K17" s="5">
        <v>3</v>
      </c>
      <c r="L17" s="12">
        <f t="shared" si="0"/>
        <v>42</v>
      </c>
      <c r="M17" s="5">
        <v>5</v>
      </c>
      <c r="N17" s="5">
        <v>5</v>
      </c>
      <c r="O17" s="5">
        <v>5</v>
      </c>
      <c r="P17" s="5">
        <v>6</v>
      </c>
      <c r="Q17" s="5">
        <v>3</v>
      </c>
      <c r="R17" s="5">
        <v>3</v>
      </c>
      <c r="S17" s="5">
        <v>4</v>
      </c>
      <c r="T17" s="5">
        <v>4</v>
      </c>
      <c r="U17" s="5">
        <v>4</v>
      </c>
      <c r="V17" s="12">
        <f t="shared" si="6"/>
        <v>39</v>
      </c>
      <c r="W17" s="12">
        <f t="shared" si="2"/>
        <v>81</v>
      </c>
      <c r="X17" s="5">
        <v>6.125</v>
      </c>
      <c r="Y17" s="5">
        <f t="shared" si="3"/>
        <v>74.875</v>
      </c>
      <c r="Z17" s="14">
        <f>+Y17+'day 1'!Z17</f>
        <v>151.875</v>
      </c>
      <c r="AA17" s="5">
        <f t="shared" si="4"/>
        <v>9.625</v>
      </c>
    </row>
    <row r="18" spans="1:29" x14ac:dyDescent="0.3">
      <c r="A18">
        <f t="shared" si="5"/>
        <v>16</v>
      </c>
      <c r="B18" t="s">
        <v>33</v>
      </c>
      <c r="C18" s="5">
        <v>7</v>
      </c>
      <c r="D18" s="5">
        <v>7</v>
      </c>
      <c r="E18" s="5">
        <v>4</v>
      </c>
      <c r="F18" s="5">
        <v>9</v>
      </c>
      <c r="G18" s="5">
        <v>5</v>
      </c>
      <c r="H18" s="5">
        <v>5</v>
      </c>
      <c r="I18" s="5">
        <v>4</v>
      </c>
      <c r="J18" s="5">
        <v>5</v>
      </c>
      <c r="K18" s="5">
        <v>4</v>
      </c>
      <c r="L18" s="12">
        <f t="shared" si="0"/>
        <v>50</v>
      </c>
      <c r="M18" s="5">
        <v>6</v>
      </c>
      <c r="N18" s="5">
        <v>6</v>
      </c>
      <c r="O18" s="5">
        <v>7</v>
      </c>
      <c r="P18" s="5">
        <v>8</v>
      </c>
      <c r="Q18" s="5">
        <v>3</v>
      </c>
      <c r="R18" s="5">
        <v>3</v>
      </c>
      <c r="S18" s="5">
        <v>8</v>
      </c>
      <c r="T18" s="5">
        <v>6</v>
      </c>
      <c r="U18" s="5">
        <v>5</v>
      </c>
      <c r="V18" s="12">
        <f>SUM(M18:U18)</f>
        <v>52</v>
      </c>
      <c r="W18" s="12">
        <f>+L18+V18</f>
        <v>102</v>
      </c>
      <c r="X18" s="5">
        <v>28</v>
      </c>
      <c r="Y18" s="5">
        <f t="shared" si="3"/>
        <v>74</v>
      </c>
      <c r="Z18" s="14">
        <f>+Y18+'day 1'!Z18</f>
        <v>176</v>
      </c>
      <c r="AA18" s="5">
        <f t="shared" si="4"/>
        <v>28</v>
      </c>
    </row>
    <row r="19" spans="1:29" x14ac:dyDescent="0.3">
      <c r="A19">
        <f t="shared" si="5"/>
        <v>17</v>
      </c>
      <c r="B19" t="s">
        <v>38</v>
      </c>
      <c r="C19" s="5">
        <v>6</v>
      </c>
      <c r="D19" s="5">
        <v>5</v>
      </c>
      <c r="E19" s="5">
        <v>6</v>
      </c>
      <c r="F19" s="5">
        <v>7</v>
      </c>
      <c r="G19" s="5">
        <v>3</v>
      </c>
      <c r="H19" s="5">
        <v>4</v>
      </c>
      <c r="I19" s="5">
        <v>5</v>
      </c>
      <c r="J19" s="5">
        <v>6</v>
      </c>
      <c r="K19" s="5">
        <v>5</v>
      </c>
      <c r="L19" s="12">
        <f t="shared" si="0"/>
        <v>47</v>
      </c>
      <c r="M19" s="5">
        <v>6</v>
      </c>
      <c r="N19" s="5">
        <v>6</v>
      </c>
      <c r="O19" s="5">
        <v>6</v>
      </c>
      <c r="P19" s="5">
        <v>7</v>
      </c>
      <c r="Q19" s="5">
        <v>3</v>
      </c>
      <c r="R19" s="5">
        <v>5</v>
      </c>
      <c r="S19" s="5">
        <v>5</v>
      </c>
      <c r="T19" s="5">
        <v>5</v>
      </c>
      <c r="U19" s="5">
        <v>7</v>
      </c>
      <c r="V19" s="12">
        <f>SUM(M19:U19)</f>
        <v>50</v>
      </c>
      <c r="W19" s="12">
        <f>+L19+V19</f>
        <v>97</v>
      </c>
      <c r="X19" s="5">
        <v>23.625</v>
      </c>
      <c r="Y19" s="5">
        <f t="shared" si="3"/>
        <v>73.375</v>
      </c>
      <c r="Z19" s="14">
        <f>+Y19+'day 1'!Z19</f>
        <v>170.375</v>
      </c>
      <c r="AA19" s="5">
        <f t="shared" si="4"/>
        <v>23.625</v>
      </c>
    </row>
    <row r="20" spans="1:29" x14ac:dyDescent="0.3">
      <c r="A20">
        <f t="shared" si="5"/>
        <v>18</v>
      </c>
      <c r="B20" t="s">
        <v>34</v>
      </c>
      <c r="C20" s="5">
        <v>5</v>
      </c>
      <c r="D20" s="5">
        <v>4</v>
      </c>
      <c r="E20" s="5">
        <v>7</v>
      </c>
      <c r="F20" s="5">
        <v>7</v>
      </c>
      <c r="G20" s="5">
        <v>5</v>
      </c>
      <c r="H20" s="5">
        <v>4</v>
      </c>
      <c r="I20" s="5">
        <v>5</v>
      </c>
      <c r="J20" s="5">
        <v>6</v>
      </c>
      <c r="K20" s="5">
        <v>5</v>
      </c>
      <c r="L20" s="12">
        <f t="shared" si="0"/>
        <v>48</v>
      </c>
      <c r="M20" s="5">
        <v>5</v>
      </c>
      <c r="N20" s="5">
        <v>5</v>
      </c>
      <c r="O20" s="5">
        <v>4</v>
      </c>
      <c r="P20" s="5">
        <v>7</v>
      </c>
      <c r="Q20" s="5">
        <v>5</v>
      </c>
      <c r="R20" s="5">
        <v>4</v>
      </c>
      <c r="S20" s="5">
        <v>7</v>
      </c>
      <c r="T20" s="5">
        <v>7</v>
      </c>
      <c r="U20" s="5">
        <v>7</v>
      </c>
      <c r="V20" s="12">
        <f>SUM(M20:U20)</f>
        <v>51</v>
      </c>
      <c r="W20" s="12">
        <f>+L20+V20</f>
        <v>99</v>
      </c>
      <c r="X20" s="5">
        <v>25.375</v>
      </c>
      <c r="Y20" s="5">
        <f t="shared" si="3"/>
        <v>73.625</v>
      </c>
      <c r="Z20" s="14">
        <f>+Y20+'day 1'!Z20</f>
        <v>172.625</v>
      </c>
      <c r="AA20" s="5">
        <f t="shared" si="4"/>
        <v>25.375</v>
      </c>
    </row>
    <row r="21" spans="1:29" x14ac:dyDescent="0.3">
      <c r="A21">
        <f t="shared" si="5"/>
        <v>19</v>
      </c>
      <c r="B21" t="s">
        <v>35</v>
      </c>
      <c r="C21" s="5"/>
      <c r="D21" s="5"/>
      <c r="E21" s="5"/>
      <c r="F21" s="5"/>
      <c r="G21" s="5"/>
      <c r="H21" s="5"/>
      <c r="I21" s="5"/>
      <c r="J21" s="5"/>
      <c r="K21" s="5"/>
      <c r="L21" s="12">
        <f t="shared" si="0"/>
        <v>0</v>
      </c>
      <c r="M21" s="5"/>
      <c r="N21" s="5"/>
      <c r="O21" s="5"/>
      <c r="P21" s="5"/>
      <c r="Q21" s="5"/>
      <c r="R21" s="5"/>
      <c r="S21" s="5"/>
      <c r="T21" s="5"/>
      <c r="U21" s="5"/>
      <c r="V21" s="12">
        <f>SUM(M21:U21)</f>
        <v>0</v>
      </c>
      <c r="W21" s="12">
        <f>+L21+V21</f>
        <v>0</v>
      </c>
      <c r="X21" s="5">
        <v>15.75</v>
      </c>
      <c r="Y21" s="5">
        <f t="shared" si="3"/>
        <v>-15.75</v>
      </c>
      <c r="Z21" s="14">
        <f>+Y21+'day 1'!Z21</f>
        <v>57.25</v>
      </c>
      <c r="AA21" s="5">
        <f t="shared" si="4"/>
        <v>-61.25</v>
      </c>
    </row>
    <row r="22" spans="1:29" x14ac:dyDescent="0.3">
      <c r="A22">
        <f t="shared" si="5"/>
        <v>20</v>
      </c>
      <c r="B22" t="s">
        <v>37</v>
      </c>
      <c r="C22" s="5">
        <v>5</v>
      </c>
      <c r="D22" s="5">
        <v>4</v>
      </c>
      <c r="E22" s="5">
        <v>8</v>
      </c>
      <c r="F22" s="5">
        <v>7</v>
      </c>
      <c r="G22" s="5">
        <v>5</v>
      </c>
      <c r="H22" s="5">
        <v>4</v>
      </c>
      <c r="I22" s="5">
        <v>7</v>
      </c>
      <c r="J22" s="5">
        <v>6</v>
      </c>
      <c r="K22" s="5">
        <v>6</v>
      </c>
      <c r="L22" s="12">
        <f t="shared" si="0"/>
        <v>52</v>
      </c>
      <c r="M22" s="5">
        <v>5</v>
      </c>
      <c r="N22" s="5">
        <v>7</v>
      </c>
      <c r="O22" s="5">
        <v>7</v>
      </c>
      <c r="P22" s="5">
        <v>7</v>
      </c>
      <c r="Q22" s="5">
        <v>4</v>
      </c>
      <c r="R22" s="5">
        <v>5</v>
      </c>
      <c r="S22" s="5">
        <v>6</v>
      </c>
      <c r="T22" s="5">
        <v>7</v>
      </c>
      <c r="U22" s="5">
        <v>6</v>
      </c>
      <c r="V22" s="12">
        <f>SUM(M22:U22)</f>
        <v>54</v>
      </c>
      <c r="W22" s="12">
        <f>+L22+V22</f>
        <v>106</v>
      </c>
      <c r="X22" s="5">
        <v>28</v>
      </c>
      <c r="Y22" s="5">
        <f t="shared" si="3"/>
        <v>78</v>
      </c>
      <c r="Z22" s="14">
        <f>+Y22+'day 1'!Z22</f>
        <v>156</v>
      </c>
      <c r="AA22" s="5">
        <f t="shared" si="4"/>
        <v>31.5</v>
      </c>
    </row>
    <row r="23" spans="1:29" x14ac:dyDescent="0.3">
      <c r="A23">
        <f t="shared" si="5"/>
        <v>21</v>
      </c>
      <c r="B23" t="s">
        <v>28</v>
      </c>
      <c r="C23" s="5">
        <v>7</v>
      </c>
      <c r="D23" s="5">
        <v>6</v>
      </c>
      <c r="E23" s="5">
        <v>6</v>
      </c>
      <c r="F23" s="5">
        <v>8</v>
      </c>
      <c r="G23" s="5">
        <v>4</v>
      </c>
      <c r="H23" s="5">
        <v>4</v>
      </c>
      <c r="I23" s="5">
        <v>7</v>
      </c>
      <c r="J23" s="5">
        <v>6</v>
      </c>
      <c r="K23" s="5">
        <v>5</v>
      </c>
      <c r="L23" s="12">
        <f t="shared" si="0"/>
        <v>53</v>
      </c>
      <c r="M23" s="5">
        <v>4</v>
      </c>
      <c r="N23" s="5">
        <v>5</v>
      </c>
      <c r="O23" s="5">
        <v>7</v>
      </c>
      <c r="P23" s="5">
        <v>7</v>
      </c>
      <c r="Q23" s="5">
        <v>3</v>
      </c>
      <c r="R23" s="5">
        <v>3</v>
      </c>
      <c r="S23" s="5">
        <v>6</v>
      </c>
      <c r="T23" s="5">
        <v>7</v>
      </c>
      <c r="U23" s="5">
        <v>5</v>
      </c>
      <c r="V23" s="12">
        <f t="shared" si="6"/>
        <v>47</v>
      </c>
      <c r="W23" s="12">
        <f t="shared" si="2"/>
        <v>100</v>
      </c>
      <c r="X23" s="5">
        <v>34.125</v>
      </c>
      <c r="Y23" s="5">
        <f t="shared" si="3"/>
        <v>65.875</v>
      </c>
      <c r="Z23" s="14">
        <f>+Y23+'day 1'!Z23</f>
        <v>143.875</v>
      </c>
      <c r="AA23" s="5">
        <f t="shared" si="4"/>
        <v>26.25</v>
      </c>
    </row>
    <row r="24" spans="1:29" x14ac:dyDescent="0.3">
      <c r="A24">
        <f t="shared" si="5"/>
        <v>22</v>
      </c>
      <c r="B24" t="s">
        <v>29</v>
      </c>
      <c r="C24" s="5">
        <v>5</v>
      </c>
      <c r="D24" s="5">
        <v>9</v>
      </c>
      <c r="E24" s="5">
        <v>5</v>
      </c>
      <c r="F24" s="5">
        <v>5</v>
      </c>
      <c r="G24" s="5">
        <v>5</v>
      </c>
      <c r="H24" s="5">
        <v>3</v>
      </c>
      <c r="I24" s="5">
        <v>6</v>
      </c>
      <c r="J24" s="5">
        <v>5</v>
      </c>
      <c r="K24" s="5">
        <v>4</v>
      </c>
      <c r="L24" s="12">
        <f t="shared" si="0"/>
        <v>47</v>
      </c>
      <c r="M24" s="5">
        <v>4</v>
      </c>
      <c r="N24" s="5">
        <v>9</v>
      </c>
      <c r="O24" s="5">
        <v>4</v>
      </c>
      <c r="P24" s="5">
        <v>6</v>
      </c>
      <c r="Q24" s="5">
        <v>5</v>
      </c>
      <c r="R24" s="5">
        <v>4</v>
      </c>
      <c r="S24" s="5">
        <v>4</v>
      </c>
      <c r="T24" s="5">
        <v>5</v>
      </c>
      <c r="U24" s="5">
        <v>4</v>
      </c>
      <c r="V24" s="12">
        <f t="shared" si="6"/>
        <v>45</v>
      </c>
      <c r="W24" s="12">
        <f t="shared" si="2"/>
        <v>92</v>
      </c>
      <c r="X24" s="5">
        <v>21.875</v>
      </c>
      <c r="Y24" s="5">
        <f t="shared" si="3"/>
        <v>70.125</v>
      </c>
      <c r="Z24" s="14">
        <f>+Y24+'day 1'!Z24</f>
        <v>141.125</v>
      </c>
      <c r="AA24" s="5">
        <f t="shared" si="4"/>
        <v>19.25</v>
      </c>
    </row>
    <row r="25" spans="1:29" x14ac:dyDescent="0.3">
      <c r="B25" t="s">
        <v>13</v>
      </c>
      <c r="C25" s="5">
        <v>11</v>
      </c>
      <c r="D25" s="5">
        <v>17</v>
      </c>
      <c r="E25" s="5">
        <v>15</v>
      </c>
      <c r="F25" s="5">
        <v>7</v>
      </c>
      <c r="G25" s="5">
        <v>3</v>
      </c>
      <c r="H25" s="5">
        <v>9</v>
      </c>
      <c r="I25" s="5">
        <v>1</v>
      </c>
      <c r="J25" s="5">
        <v>13</v>
      </c>
      <c r="K25" s="5">
        <v>5</v>
      </c>
      <c r="L25" s="12"/>
      <c r="M25" s="5">
        <v>12</v>
      </c>
      <c r="N25" s="5">
        <v>18</v>
      </c>
      <c r="O25" s="5">
        <v>16</v>
      </c>
      <c r="P25" s="5">
        <v>8</v>
      </c>
      <c r="Q25" s="5">
        <v>4</v>
      </c>
      <c r="R25" s="5">
        <v>10</v>
      </c>
      <c r="S25" s="5">
        <v>2</v>
      </c>
      <c r="T25" s="5">
        <v>14</v>
      </c>
      <c r="U25" s="5">
        <v>6</v>
      </c>
      <c r="V25" s="12"/>
      <c r="W25" s="12"/>
    </row>
    <row r="26" spans="1:29" x14ac:dyDescent="0.3">
      <c r="L26" s="6"/>
      <c r="V26" s="6"/>
      <c r="W26" s="6"/>
    </row>
    <row r="27" spans="1:29" x14ac:dyDescent="0.3">
      <c r="B27" t="s">
        <v>26</v>
      </c>
      <c r="L27" s="6"/>
      <c r="V27" s="6"/>
      <c r="W27" s="6"/>
    </row>
    <row r="28" spans="1:29" x14ac:dyDescent="0.3">
      <c r="A28">
        <v>1</v>
      </c>
      <c r="B28" t="str">
        <f>+B3</f>
        <v>Colin Sullivan</v>
      </c>
      <c r="C28" s="14">
        <f>+C3-2</f>
        <v>3</v>
      </c>
      <c r="D28" s="14">
        <f>+D3-1</f>
        <v>3</v>
      </c>
      <c r="E28" s="14">
        <f>+E3-1</f>
        <v>4</v>
      </c>
      <c r="F28" s="14">
        <f>+F3-2</f>
        <v>4</v>
      </c>
      <c r="G28" s="14">
        <f>+G3-2</f>
        <v>4</v>
      </c>
      <c r="H28" s="14">
        <f>+H3-2</f>
        <v>2</v>
      </c>
      <c r="I28" s="14">
        <f>+I3-2</f>
        <v>4</v>
      </c>
      <c r="J28" s="14">
        <f>+J3-1</f>
        <v>4</v>
      </c>
      <c r="K28" s="14">
        <f>+K3-2</f>
        <v>4</v>
      </c>
      <c r="L28" s="12">
        <f t="shared" ref="L28" si="7">SUM(C28:K28)</f>
        <v>32</v>
      </c>
      <c r="M28" s="14">
        <f>+M3-2</f>
        <v>3</v>
      </c>
      <c r="N28" s="14">
        <f>+N3-1</f>
        <v>6</v>
      </c>
      <c r="O28" s="14">
        <f>+O3-1</f>
        <v>4</v>
      </c>
      <c r="P28" s="14">
        <f>+P3-2</f>
        <v>5</v>
      </c>
      <c r="Q28" s="14">
        <f>+Q3-2</f>
        <v>1</v>
      </c>
      <c r="R28" s="14">
        <f>+R3-2</f>
        <v>2</v>
      </c>
      <c r="S28" s="14">
        <f>+S3-2</f>
        <v>4</v>
      </c>
      <c r="T28" s="14">
        <f>+T3-1</f>
        <v>4</v>
      </c>
      <c r="U28" s="14">
        <f>+U3-2</f>
        <v>4</v>
      </c>
      <c r="V28" s="12">
        <f>SUM(M28:U28)</f>
        <v>33</v>
      </c>
      <c r="W28" s="12">
        <f>+V28+L28</f>
        <v>65</v>
      </c>
      <c r="X28" s="4">
        <f>(0.5*6)-(0.5*6)</f>
        <v>0</v>
      </c>
      <c r="Y28" s="4">
        <f>(0.5*4)-(0.5*10)</f>
        <v>-3</v>
      </c>
      <c r="Z28" s="18">
        <f>(1*5)-(1*9)</f>
        <v>-4</v>
      </c>
      <c r="AA28" s="20">
        <f t="shared" ref="AA28:AA49" si="8">SUM(X28:Z28)</f>
        <v>-7</v>
      </c>
      <c r="AB28" s="4">
        <v>-2.6</v>
      </c>
      <c r="AC28" s="20">
        <f>SUM(AA28:AB28)</f>
        <v>-9.6</v>
      </c>
    </row>
    <row r="29" spans="1:29" x14ac:dyDescent="0.3">
      <c r="A29">
        <f>+A28+1</f>
        <v>2</v>
      </c>
      <c r="B29" t="str">
        <f t="shared" ref="B29:B49" si="9">+B4</f>
        <v>Bernie Sullivan</v>
      </c>
      <c r="C29" s="14">
        <f>+C4-1</f>
        <v>4</v>
      </c>
      <c r="D29" s="14">
        <f>+D4</f>
        <v>6</v>
      </c>
      <c r="E29" s="14">
        <f>+E4-1</f>
        <v>4</v>
      </c>
      <c r="F29" s="14">
        <f>+F4-1</f>
        <v>4</v>
      </c>
      <c r="G29" s="14">
        <f>+G4-1</f>
        <v>4</v>
      </c>
      <c r="H29" s="14">
        <f>+H4-1</f>
        <v>3</v>
      </c>
      <c r="I29" s="14">
        <f>+I4-1</f>
        <v>5</v>
      </c>
      <c r="J29" s="14">
        <f>+J4-1</f>
        <v>5</v>
      </c>
      <c r="K29" s="14">
        <f>+K4-1</f>
        <v>5</v>
      </c>
      <c r="L29" s="12">
        <f>SUM(C29:K29)</f>
        <v>40</v>
      </c>
      <c r="M29" s="14">
        <f>+M4-1</f>
        <v>3</v>
      </c>
      <c r="N29" s="14">
        <f>+N4</f>
        <v>6</v>
      </c>
      <c r="O29" s="14">
        <f>+O4</f>
        <v>4</v>
      </c>
      <c r="P29" s="14">
        <f>+P4-1</f>
        <v>6</v>
      </c>
      <c r="Q29" s="14">
        <f>+Q4-1</f>
        <v>2</v>
      </c>
      <c r="R29" s="14">
        <f>+R4-1</f>
        <v>4</v>
      </c>
      <c r="S29" s="14">
        <f>+S4-1</f>
        <v>3</v>
      </c>
      <c r="T29" s="14">
        <f>+T4-1</f>
        <v>4</v>
      </c>
      <c r="U29" s="14">
        <f>+U4-1</f>
        <v>4</v>
      </c>
      <c r="V29" s="12">
        <f t="shared" ref="V29:V49" si="10">SUM(M29:U29)</f>
        <v>36</v>
      </c>
      <c r="W29" s="9">
        <f t="shared" ref="W29:W49" si="11">+V29+L29</f>
        <v>76</v>
      </c>
      <c r="X29" s="4">
        <f>(0.5*6)-(0.5*6)</f>
        <v>0</v>
      </c>
      <c r="Y29" s="4">
        <f>(0.5*4)-(0.5*10)</f>
        <v>-3</v>
      </c>
      <c r="Z29" s="18">
        <f>(1*5)-(1*9)</f>
        <v>-4</v>
      </c>
      <c r="AA29" s="20">
        <f t="shared" si="8"/>
        <v>-7</v>
      </c>
      <c r="AB29" s="4">
        <v>-4.7</v>
      </c>
      <c r="AC29" s="20">
        <f t="shared" ref="AC29:AC49" si="12">SUM(AA29:AB29)</f>
        <v>-11.7</v>
      </c>
    </row>
    <row r="30" spans="1:29" x14ac:dyDescent="0.3">
      <c r="A30">
        <f t="shared" ref="A30:A49" si="13">+A29+1</f>
        <v>3</v>
      </c>
      <c r="B30" t="str">
        <f t="shared" si="9"/>
        <v>Joe McCardel</v>
      </c>
      <c r="C30" s="14">
        <f>+C5-2</f>
        <v>2</v>
      </c>
      <c r="D30" s="14">
        <f>+D5-1</f>
        <v>5</v>
      </c>
      <c r="E30" s="14">
        <f>+E5-1</f>
        <v>6</v>
      </c>
      <c r="F30" s="14">
        <f t="shared" ref="F30:K30" si="14">+F5-2</f>
        <v>6</v>
      </c>
      <c r="G30" s="14">
        <f t="shared" si="14"/>
        <v>2</v>
      </c>
      <c r="H30" s="14">
        <f t="shared" si="14"/>
        <v>2</v>
      </c>
      <c r="I30" s="14">
        <f t="shared" si="14"/>
        <v>5</v>
      </c>
      <c r="J30" s="14">
        <f t="shared" si="14"/>
        <v>4</v>
      </c>
      <c r="K30" s="14">
        <f t="shared" si="14"/>
        <v>2</v>
      </c>
      <c r="L30" s="12">
        <f t="shared" ref="L30" si="15">SUM(C30:K30)</f>
        <v>34</v>
      </c>
      <c r="M30" s="14">
        <f>+M5-2</f>
        <v>3</v>
      </c>
      <c r="N30" s="14">
        <f>+N5-1</f>
        <v>6</v>
      </c>
      <c r="O30" s="14">
        <f>+O5-1</f>
        <v>4</v>
      </c>
      <c r="P30" s="14">
        <f>+P5-2</f>
        <v>7</v>
      </c>
      <c r="Q30" s="14">
        <f>+Q5-2</f>
        <v>2</v>
      </c>
      <c r="R30" s="14">
        <f>+R5-2</f>
        <v>2</v>
      </c>
      <c r="S30" s="14">
        <f>+S5-2</f>
        <v>4</v>
      </c>
      <c r="T30" s="14">
        <f>+T5-1</f>
        <v>5</v>
      </c>
      <c r="U30" s="14">
        <f>+U5-2</f>
        <v>2</v>
      </c>
      <c r="V30" s="12">
        <f t="shared" si="10"/>
        <v>35</v>
      </c>
      <c r="W30" s="12">
        <f t="shared" si="11"/>
        <v>69</v>
      </c>
      <c r="X30" s="4">
        <f>(0.5*2)-(0.5*12)</f>
        <v>-5</v>
      </c>
      <c r="Y30" s="4">
        <f>(0.5*13)-(0.5*1)</f>
        <v>6</v>
      </c>
      <c r="Z30" s="18">
        <f>(1*8)-(1*7)</f>
        <v>1</v>
      </c>
      <c r="AA30" s="20">
        <f t="shared" si="8"/>
        <v>2</v>
      </c>
      <c r="AB30" s="4">
        <v>-0.3</v>
      </c>
      <c r="AC30" s="20">
        <f t="shared" si="12"/>
        <v>1.7</v>
      </c>
    </row>
    <row r="31" spans="1:29" x14ac:dyDescent="0.3">
      <c r="A31">
        <f t="shared" si="13"/>
        <v>4</v>
      </c>
      <c r="B31" t="str">
        <f t="shared" si="9"/>
        <v>Dave Brauer</v>
      </c>
      <c r="C31" s="14">
        <f>+C6-1</f>
        <v>3</v>
      </c>
      <c r="D31" s="14">
        <f>+D6</f>
        <v>5</v>
      </c>
      <c r="E31" s="14">
        <f>+E6-1</f>
        <v>4</v>
      </c>
      <c r="F31" s="14">
        <f t="shared" ref="F31:K31" si="16">+F6-1</f>
        <v>4</v>
      </c>
      <c r="G31" s="14">
        <f t="shared" si="16"/>
        <v>3</v>
      </c>
      <c r="H31" s="14">
        <f t="shared" si="16"/>
        <v>2</v>
      </c>
      <c r="I31" s="14">
        <f t="shared" si="16"/>
        <v>5</v>
      </c>
      <c r="J31" s="14">
        <f t="shared" si="16"/>
        <v>4</v>
      </c>
      <c r="K31" s="14">
        <f t="shared" si="16"/>
        <v>4</v>
      </c>
      <c r="L31" s="12">
        <f>SUM(C31:K31)</f>
        <v>34</v>
      </c>
      <c r="M31" s="14">
        <f>+M6-1</f>
        <v>3</v>
      </c>
      <c r="N31" s="14">
        <f>+N6</f>
        <v>4</v>
      </c>
      <c r="O31" s="14">
        <f>+O6-1</f>
        <v>4</v>
      </c>
      <c r="P31" s="14">
        <f t="shared" ref="P31:U31" si="17">+P6-1</f>
        <v>6</v>
      </c>
      <c r="Q31" s="14">
        <f t="shared" si="17"/>
        <v>2</v>
      </c>
      <c r="R31" s="14">
        <f t="shared" si="17"/>
        <v>3</v>
      </c>
      <c r="S31" s="14">
        <f t="shared" si="17"/>
        <v>3</v>
      </c>
      <c r="T31" s="14">
        <f t="shared" si="17"/>
        <v>4</v>
      </c>
      <c r="U31" s="14">
        <f t="shared" si="17"/>
        <v>5</v>
      </c>
      <c r="V31" s="12">
        <f t="shared" si="10"/>
        <v>34</v>
      </c>
      <c r="W31" s="12">
        <f t="shared" si="11"/>
        <v>68</v>
      </c>
      <c r="X31" s="4">
        <f>(0.5*6)-(0.5*6)</f>
        <v>0</v>
      </c>
      <c r="Y31" s="4">
        <f>(0.5*13)-(0.5*1)</f>
        <v>6</v>
      </c>
      <c r="Z31" s="18">
        <f>(1*11)-(1*3)</f>
        <v>8</v>
      </c>
      <c r="AA31" s="20">
        <f t="shared" si="8"/>
        <v>14</v>
      </c>
      <c r="AB31" s="4">
        <v>4.9000000000000004</v>
      </c>
      <c r="AC31" s="20">
        <f t="shared" si="12"/>
        <v>18.899999999999999</v>
      </c>
    </row>
    <row r="32" spans="1:29" x14ac:dyDescent="0.3">
      <c r="A32">
        <f t="shared" si="13"/>
        <v>5</v>
      </c>
      <c r="B32" t="str">
        <f t="shared" si="9"/>
        <v>John Sullivan</v>
      </c>
      <c r="C32" s="14">
        <f t="shared" ref="C32:K33" si="18">+C7-1</f>
        <v>3</v>
      </c>
      <c r="D32" s="14">
        <f t="shared" si="18"/>
        <v>3</v>
      </c>
      <c r="E32" s="14">
        <f t="shared" si="18"/>
        <v>5</v>
      </c>
      <c r="F32" s="14">
        <f t="shared" si="18"/>
        <v>4</v>
      </c>
      <c r="G32" s="14">
        <f>+G7-2</f>
        <v>2</v>
      </c>
      <c r="H32" s="14">
        <f>+H7-1</f>
        <v>4</v>
      </c>
      <c r="I32" s="14">
        <f>+I7-2</f>
        <v>3</v>
      </c>
      <c r="J32" s="14">
        <f>+J7-1</f>
        <v>5</v>
      </c>
      <c r="K32" s="14">
        <f>+K7-1</f>
        <v>5</v>
      </c>
      <c r="L32" s="12">
        <f t="shared" ref="L32:L38" si="19">SUM(C32:K32)</f>
        <v>34</v>
      </c>
      <c r="M32" s="14">
        <f t="shared" ref="M32:R33" si="20">+M7-1</f>
        <v>4</v>
      </c>
      <c r="N32" s="14">
        <f t="shared" si="20"/>
        <v>4</v>
      </c>
      <c r="O32" s="14">
        <f t="shared" si="20"/>
        <v>4</v>
      </c>
      <c r="P32" s="14">
        <f t="shared" si="20"/>
        <v>7</v>
      </c>
      <c r="Q32" s="14">
        <f>+Q7-2</f>
        <v>2</v>
      </c>
      <c r="R32" s="14">
        <f t="shared" si="20"/>
        <v>3</v>
      </c>
      <c r="S32" s="14">
        <f>+S7-2</f>
        <v>2</v>
      </c>
      <c r="T32" s="14">
        <f>+T7-1</f>
        <v>5</v>
      </c>
      <c r="U32" s="14">
        <f>+U7-1</f>
        <v>4</v>
      </c>
      <c r="V32" s="12">
        <f t="shared" si="10"/>
        <v>35</v>
      </c>
      <c r="W32" s="12">
        <f t="shared" si="11"/>
        <v>69</v>
      </c>
      <c r="X32" s="4">
        <f>(0.5*6)-(0.5*6)</f>
        <v>0</v>
      </c>
      <c r="Y32" s="4">
        <f>(0.5*12)-(0.5*3)</f>
        <v>4.5</v>
      </c>
      <c r="Z32" s="18">
        <f>(1*10)-(1*5)</f>
        <v>5</v>
      </c>
      <c r="AA32" s="20">
        <f t="shared" si="8"/>
        <v>9.5</v>
      </c>
      <c r="AB32" s="4">
        <v>4.9000000000000004</v>
      </c>
      <c r="AC32" s="20">
        <f t="shared" si="12"/>
        <v>14.4</v>
      </c>
    </row>
    <row r="33" spans="1:29" x14ac:dyDescent="0.3">
      <c r="A33">
        <f t="shared" si="13"/>
        <v>6</v>
      </c>
      <c r="B33" t="str">
        <f t="shared" si="9"/>
        <v>Ralph</v>
      </c>
      <c r="C33" s="14">
        <f>+C8-1</f>
        <v>3</v>
      </c>
      <c r="D33" s="14">
        <f>+D8</f>
        <v>3</v>
      </c>
      <c r="E33" s="14">
        <f>+E8</f>
        <v>6</v>
      </c>
      <c r="F33" s="14">
        <f t="shared" si="18"/>
        <v>4</v>
      </c>
      <c r="G33" s="14">
        <f t="shared" si="18"/>
        <v>3</v>
      </c>
      <c r="H33" s="14">
        <f t="shared" si="18"/>
        <v>3</v>
      </c>
      <c r="I33" s="14">
        <f t="shared" si="18"/>
        <v>5</v>
      </c>
      <c r="J33" s="14">
        <f>+J8</f>
        <v>5</v>
      </c>
      <c r="K33" s="14">
        <f t="shared" si="18"/>
        <v>6</v>
      </c>
      <c r="L33" s="12">
        <f t="shared" si="19"/>
        <v>38</v>
      </c>
      <c r="M33" s="14">
        <f>+M8</f>
        <v>6</v>
      </c>
      <c r="N33" s="14">
        <f>+N8</f>
        <v>6</v>
      </c>
      <c r="O33" s="14">
        <f>+O8</f>
        <v>5</v>
      </c>
      <c r="P33" s="14">
        <f t="shared" si="20"/>
        <v>4</v>
      </c>
      <c r="Q33" s="14">
        <f t="shared" si="20"/>
        <v>5</v>
      </c>
      <c r="R33" s="14">
        <f t="shared" si="20"/>
        <v>3</v>
      </c>
      <c r="S33" s="14">
        <f>+S8-1</f>
        <v>4</v>
      </c>
      <c r="T33" s="14">
        <f>+T8</f>
        <v>5</v>
      </c>
      <c r="U33" s="14">
        <f>+U8-1</f>
        <v>4</v>
      </c>
      <c r="V33" s="12">
        <f t="shared" si="10"/>
        <v>42</v>
      </c>
      <c r="W33" s="11">
        <f>+V33+L33</f>
        <v>80</v>
      </c>
      <c r="X33" s="4">
        <f>(0.5*12)-(0.5*3)</f>
        <v>4.5</v>
      </c>
      <c r="Y33" s="18">
        <f>15*0.5</f>
        <v>7.5</v>
      </c>
      <c r="Z33" s="18">
        <v>15</v>
      </c>
      <c r="AA33" s="20">
        <f t="shared" si="8"/>
        <v>27</v>
      </c>
      <c r="AB33" s="4">
        <v>11.8</v>
      </c>
      <c r="AC33" s="20">
        <f t="shared" si="12"/>
        <v>38.799999999999997</v>
      </c>
    </row>
    <row r="34" spans="1:29" x14ac:dyDescent="0.3">
      <c r="A34">
        <f t="shared" si="13"/>
        <v>7</v>
      </c>
      <c r="B34" t="str">
        <f t="shared" si="9"/>
        <v>Leo</v>
      </c>
      <c r="C34" s="14">
        <f>+C9-3</f>
        <v>6</v>
      </c>
      <c r="D34" s="14">
        <f>+D9-3</f>
        <v>3</v>
      </c>
      <c r="E34" s="14">
        <f>+E9-3</f>
        <v>5</v>
      </c>
      <c r="F34" s="14">
        <f>+F9-3</f>
        <v>5</v>
      </c>
      <c r="G34" s="14">
        <f>+G9-4</f>
        <v>2</v>
      </c>
      <c r="H34" s="14">
        <f>+H9-3</f>
        <v>6</v>
      </c>
      <c r="I34" s="14">
        <f>+I9-4</f>
        <v>6</v>
      </c>
      <c r="J34" s="14">
        <f>+J9-3</f>
        <v>3</v>
      </c>
      <c r="K34" s="14">
        <f>+K9-3</f>
        <v>2</v>
      </c>
      <c r="L34" s="12">
        <f t="shared" si="19"/>
        <v>38</v>
      </c>
      <c r="M34" s="14">
        <f t="shared" ref="M34:R34" si="21">+M9-3</f>
        <v>3</v>
      </c>
      <c r="N34" s="14">
        <f t="shared" si="21"/>
        <v>4</v>
      </c>
      <c r="O34" s="14">
        <f t="shared" si="21"/>
        <v>2</v>
      </c>
      <c r="P34" s="14">
        <f t="shared" si="21"/>
        <v>4</v>
      </c>
      <c r="Q34" s="14">
        <f t="shared" si="21"/>
        <v>4</v>
      </c>
      <c r="R34" s="14">
        <f t="shared" si="21"/>
        <v>5</v>
      </c>
      <c r="S34" s="14">
        <f>+S9-4</f>
        <v>3</v>
      </c>
      <c r="T34" s="14">
        <f>+T9-3</f>
        <v>2</v>
      </c>
      <c r="U34" s="14">
        <f>+U9-3</f>
        <v>5</v>
      </c>
      <c r="V34" s="12">
        <f t="shared" si="10"/>
        <v>32</v>
      </c>
      <c r="W34" s="12">
        <f>+V34+L34</f>
        <v>70</v>
      </c>
      <c r="X34" s="4">
        <f>15*0.5</f>
        <v>7.5</v>
      </c>
      <c r="Y34" s="18">
        <f>(0.5*3)-(0.5*12)</f>
        <v>-4.5</v>
      </c>
      <c r="Z34" s="18">
        <f>(1*11)-(1*3)</f>
        <v>8</v>
      </c>
      <c r="AA34" s="20">
        <f t="shared" si="8"/>
        <v>11</v>
      </c>
      <c r="AB34" s="4">
        <v>-0.3</v>
      </c>
      <c r="AC34" s="20">
        <f t="shared" si="12"/>
        <v>10.7</v>
      </c>
    </row>
    <row r="35" spans="1:29" x14ac:dyDescent="0.3">
      <c r="A35">
        <f t="shared" si="13"/>
        <v>8</v>
      </c>
      <c r="B35" t="str">
        <f t="shared" si="9"/>
        <v>Matt Lawrence</v>
      </c>
      <c r="C35" s="14">
        <f t="shared" ref="C35:U36" si="22">+C10-1</f>
        <v>5</v>
      </c>
      <c r="D35" s="14">
        <f t="shared" si="22"/>
        <v>5</v>
      </c>
      <c r="E35" s="14">
        <f t="shared" si="22"/>
        <v>4</v>
      </c>
      <c r="F35" s="14">
        <f t="shared" si="22"/>
        <v>4</v>
      </c>
      <c r="G35" s="14">
        <f t="shared" si="22"/>
        <v>2</v>
      </c>
      <c r="H35" s="14">
        <f t="shared" si="22"/>
        <v>3</v>
      </c>
      <c r="I35" s="14">
        <f t="shared" si="22"/>
        <v>4</v>
      </c>
      <c r="J35" s="14">
        <f t="shared" si="22"/>
        <v>4</v>
      </c>
      <c r="K35" s="14">
        <f t="shared" si="22"/>
        <v>5</v>
      </c>
      <c r="L35" s="12">
        <f t="shared" si="19"/>
        <v>36</v>
      </c>
      <c r="M35" s="14">
        <f t="shared" si="22"/>
        <v>3</v>
      </c>
      <c r="N35" s="14">
        <f t="shared" si="22"/>
        <v>6</v>
      </c>
      <c r="O35" s="14">
        <f t="shared" si="22"/>
        <v>4</v>
      </c>
      <c r="P35" s="14">
        <f t="shared" si="22"/>
        <v>5</v>
      </c>
      <c r="Q35" s="14">
        <f t="shared" si="22"/>
        <v>4</v>
      </c>
      <c r="R35" s="14">
        <f t="shared" si="22"/>
        <v>3</v>
      </c>
      <c r="S35" s="14">
        <f t="shared" si="22"/>
        <v>4</v>
      </c>
      <c r="T35" s="14">
        <f t="shared" si="22"/>
        <v>3</v>
      </c>
      <c r="U35" s="14">
        <f t="shared" si="22"/>
        <v>5</v>
      </c>
      <c r="V35" s="12">
        <f t="shared" si="10"/>
        <v>37</v>
      </c>
      <c r="W35" s="12">
        <f t="shared" si="11"/>
        <v>73</v>
      </c>
      <c r="X35" s="4">
        <f>(0.5*13)-(0.5*2)</f>
        <v>5.5</v>
      </c>
      <c r="Y35" s="18">
        <f>(0.5*10)-(0.5*4)</f>
        <v>3</v>
      </c>
      <c r="Z35" s="18">
        <f>(1*13)-(1*2)</f>
        <v>11</v>
      </c>
      <c r="AA35" s="20">
        <f t="shared" si="8"/>
        <v>19.5</v>
      </c>
      <c r="AB35" s="4">
        <v>7.3</v>
      </c>
      <c r="AC35" s="20">
        <f t="shared" si="12"/>
        <v>26.8</v>
      </c>
    </row>
    <row r="36" spans="1:29" x14ac:dyDescent="0.3">
      <c r="A36">
        <f t="shared" si="13"/>
        <v>9</v>
      </c>
      <c r="B36" t="str">
        <f t="shared" si="9"/>
        <v>Jerry Flynn</v>
      </c>
      <c r="C36" s="14">
        <f t="shared" si="22"/>
        <v>4</v>
      </c>
      <c r="D36" s="14">
        <f t="shared" si="22"/>
        <v>3</v>
      </c>
      <c r="E36" s="14">
        <f t="shared" si="22"/>
        <v>3</v>
      </c>
      <c r="F36" s="14">
        <f t="shared" si="22"/>
        <v>5</v>
      </c>
      <c r="G36" s="14">
        <f t="shared" si="22"/>
        <v>2</v>
      </c>
      <c r="H36" s="14">
        <f t="shared" si="22"/>
        <v>2</v>
      </c>
      <c r="I36" s="14">
        <f t="shared" si="22"/>
        <v>5</v>
      </c>
      <c r="J36" s="14">
        <f t="shared" si="22"/>
        <v>5</v>
      </c>
      <c r="K36" s="14">
        <f t="shared" si="22"/>
        <v>4</v>
      </c>
      <c r="L36" s="12">
        <f t="shared" si="19"/>
        <v>33</v>
      </c>
      <c r="M36" s="14">
        <f t="shared" si="22"/>
        <v>5</v>
      </c>
      <c r="N36" s="14">
        <f>+N11</f>
        <v>5</v>
      </c>
      <c r="O36" s="14">
        <f t="shared" si="22"/>
        <v>4</v>
      </c>
      <c r="P36" s="14">
        <f t="shared" si="22"/>
        <v>6</v>
      </c>
      <c r="Q36" s="14">
        <f t="shared" si="22"/>
        <v>4</v>
      </c>
      <c r="R36" s="14">
        <f t="shared" si="22"/>
        <v>2</v>
      </c>
      <c r="S36" s="14">
        <f t="shared" si="22"/>
        <v>6</v>
      </c>
      <c r="T36" s="14">
        <f t="shared" si="22"/>
        <v>4</v>
      </c>
      <c r="U36" s="14">
        <f t="shared" si="22"/>
        <v>4</v>
      </c>
      <c r="V36" s="12">
        <f t="shared" si="10"/>
        <v>40</v>
      </c>
      <c r="W36" s="12">
        <f t="shared" si="11"/>
        <v>73</v>
      </c>
      <c r="X36" s="4">
        <f>(0.5*4)-(0.5*11)</f>
        <v>-3.5</v>
      </c>
      <c r="Y36" s="18">
        <f>(0.5*1)-(0.5*13)</f>
        <v>-6</v>
      </c>
      <c r="Z36" s="18">
        <f>(1*1)-(1*14)</f>
        <v>-13</v>
      </c>
      <c r="AA36" s="20">
        <f t="shared" si="8"/>
        <v>-22.5</v>
      </c>
      <c r="AB36" s="4">
        <v>-11.1</v>
      </c>
      <c r="AC36" s="20">
        <f t="shared" si="12"/>
        <v>-33.6</v>
      </c>
    </row>
    <row r="37" spans="1:29" x14ac:dyDescent="0.3">
      <c r="A37">
        <f t="shared" si="13"/>
        <v>10</v>
      </c>
      <c r="B37" t="str">
        <f t="shared" si="9"/>
        <v>Mike Flynn</v>
      </c>
      <c r="C37" s="14">
        <f>+C12</f>
        <v>4</v>
      </c>
      <c r="D37" s="14">
        <f t="shared" ref="D37:J37" si="23">+D12</f>
        <v>4</v>
      </c>
      <c r="E37" s="14">
        <f t="shared" si="23"/>
        <v>5</v>
      </c>
      <c r="F37" s="14">
        <f>+F12-1</f>
        <v>4</v>
      </c>
      <c r="G37" s="14">
        <f>+G12-1</f>
        <v>3</v>
      </c>
      <c r="H37" s="14">
        <f t="shared" si="23"/>
        <v>3</v>
      </c>
      <c r="I37" s="14">
        <f>+I12-1</f>
        <v>3</v>
      </c>
      <c r="J37" s="14">
        <f t="shared" si="23"/>
        <v>4</v>
      </c>
      <c r="K37" s="14">
        <f>+K12-1</f>
        <v>3</v>
      </c>
      <c r="L37" s="12">
        <f t="shared" si="19"/>
        <v>33</v>
      </c>
      <c r="M37" s="14">
        <f t="shared" ref="M37:T37" si="24">+M12</f>
        <v>5</v>
      </c>
      <c r="N37" s="14">
        <f t="shared" si="24"/>
        <v>4</v>
      </c>
      <c r="O37" s="14">
        <f t="shared" si="24"/>
        <v>4</v>
      </c>
      <c r="P37" s="14">
        <f t="shared" si="24"/>
        <v>6</v>
      </c>
      <c r="Q37" s="14">
        <f>+Q12-1</f>
        <v>1</v>
      </c>
      <c r="R37" s="14">
        <f t="shared" si="24"/>
        <v>3</v>
      </c>
      <c r="S37" s="14">
        <f>+S12-1</f>
        <v>5</v>
      </c>
      <c r="T37" s="14">
        <f t="shared" si="24"/>
        <v>5</v>
      </c>
      <c r="U37" s="14">
        <f>+U12-1</f>
        <v>3</v>
      </c>
      <c r="V37" s="12">
        <f t="shared" si="10"/>
        <v>36</v>
      </c>
      <c r="W37" s="19">
        <f t="shared" si="11"/>
        <v>69</v>
      </c>
      <c r="X37" s="4">
        <f>(0.5*11)-(0.5*4)</f>
        <v>3.5</v>
      </c>
      <c r="Y37" s="18">
        <f>(0.5*6)-(0.5*9)</f>
        <v>-1.5</v>
      </c>
      <c r="Z37" s="18">
        <f>(1*9)-(1*6)</f>
        <v>3</v>
      </c>
      <c r="AA37" s="20">
        <f t="shared" si="8"/>
        <v>5</v>
      </c>
      <c r="AB37" s="4">
        <v>-1.9</v>
      </c>
      <c r="AC37" s="20">
        <f t="shared" si="12"/>
        <v>3.1</v>
      </c>
    </row>
    <row r="38" spans="1:29" x14ac:dyDescent="0.3">
      <c r="A38">
        <f t="shared" si="13"/>
        <v>11</v>
      </c>
      <c r="B38" t="str">
        <f t="shared" si="9"/>
        <v>Sean Flynn</v>
      </c>
      <c r="C38" s="14">
        <f>+C13-1</f>
        <v>3</v>
      </c>
      <c r="D38" s="14">
        <f>+D13</f>
        <v>5</v>
      </c>
      <c r="E38" s="14">
        <f>+E13</f>
        <v>4</v>
      </c>
      <c r="F38" s="14">
        <f t="shared" ref="F38:K38" si="25">+F13-1</f>
        <v>4</v>
      </c>
      <c r="G38" s="14">
        <f t="shared" si="25"/>
        <v>2</v>
      </c>
      <c r="H38" s="14">
        <f t="shared" si="25"/>
        <v>3</v>
      </c>
      <c r="I38" s="14">
        <f t="shared" si="25"/>
        <v>4</v>
      </c>
      <c r="J38" s="14">
        <f t="shared" si="25"/>
        <v>4</v>
      </c>
      <c r="K38" s="14">
        <f t="shared" si="25"/>
        <v>5</v>
      </c>
      <c r="L38" s="12">
        <f t="shared" si="19"/>
        <v>34</v>
      </c>
      <c r="M38" s="14">
        <f>+M13-1</f>
        <v>3</v>
      </c>
      <c r="N38" s="14">
        <f>+N13</f>
        <v>5</v>
      </c>
      <c r="O38" s="14">
        <f>+O13</f>
        <v>6</v>
      </c>
      <c r="P38" s="14">
        <f t="shared" ref="P38:R38" si="26">+P13-1</f>
        <v>4</v>
      </c>
      <c r="Q38" s="14">
        <f t="shared" si="26"/>
        <v>2</v>
      </c>
      <c r="R38" s="14">
        <f t="shared" si="26"/>
        <v>2</v>
      </c>
      <c r="S38" s="14">
        <f>+S13-1</f>
        <v>4</v>
      </c>
      <c r="T38" s="14">
        <f>+T13</f>
        <v>5</v>
      </c>
      <c r="U38" s="14">
        <f>+U13-1</f>
        <v>3</v>
      </c>
      <c r="V38" s="12">
        <f t="shared" si="10"/>
        <v>34</v>
      </c>
      <c r="W38" s="12">
        <f t="shared" si="11"/>
        <v>68</v>
      </c>
      <c r="X38" s="4">
        <v>-7.5</v>
      </c>
      <c r="Y38" s="18">
        <v>-7.5</v>
      </c>
      <c r="Z38" s="4">
        <v>-15</v>
      </c>
      <c r="AA38" s="20">
        <f t="shared" si="8"/>
        <v>-30</v>
      </c>
      <c r="AB38" s="4">
        <v>-12</v>
      </c>
      <c r="AC38" s="20">
        <f t="shared" si="12"/>
        <v>-42</v>
      </c>
    </row>
    <row r="39" spans="1:29" x14ac:dyDescent="0.3">
      <c r="A39">
        <f t="shared" si="13"/>
        <v>12</v>
      </c>
      <c r="B39" t="str">
        <f t="shared" si="9"/>
        <v>Kevin Fitzgerald</v>
      </c>
      <c r="C39" s="14">
        <f t="shared" ref="C39:E40" si="27">+C14-1</f>
        <v>3</v>
      </c>
      <c r="D39" s="14">
        <f t="shared" si="27"/>
        <v>2</v>
      </c>
      <c r="E39" s="14">
        <f t="shared" si="27"/>
        <v>4</v>
      </c>
      <c r="F39" s="14">
        <f t="shared" ref="F39:K40" si="28">+F14-2</f>
        <v>4</v>
      </c>
      <c r="G39" s="14">
        <f t="shared" si="28"/>
        <v>1</v>
      </c>
      <c r="H39" s="14">
        <f>+H14-1</f>
        <v>4</v>
      </c>
      <c r="I39" s="14">
        <f t="shared" si="28"/>
        <v>3</v>
      </c>
      <c r="J39" s="14">
        <f>+J14-1</f>
        <v>4</v>
      </c>
      <c r="K39" s="14">
        <f t="shared" si="28"/>
        <v>4</v>
      </c>
      <c r="L39" s="12">
        <f>SUM(C39:K39)</f>
        <v>29</v>
      </c>
      <c r="M39" s="14">
        <f>+M14-1</f>
        <v>4</v>
      </c>
      <c r="N39" s="14">
        <f>+N14-1</f>
        <v>6</v>
      </c>
      <c r="O39" s="14">
        <f>+O14-1</f>
        <v>4</v>
      </c>
      <c r="P39" s="14">
        <f>+P14-1</f>
        <v>6</v>
      </c>
      <c r="Q39" s="14">
        <f>+Q14-2</f>
        <v>2</v>
      </c>
      <c r="R39" s="14">
        <f>+R14-1</f>
        <v>2</v>
      </c>
      <c r="S39" s="14">
        <f>+S14-2</f>
        <v>4</v>
      </c>
      <c r="T39" s="14">
        <f>+T14-1</f>
        <v>4</v>
      </c>
      <c r="U39" s="14">
        <f>+U14-2</f>
        <v>4</v>
      </c>
      <c r="V39" s="12">
        <f t="shared" si="10"/>
        <v>36</v>
      </c>
      <c r="W39" s="12">
        <f t="shared" si="11"/>
        <v>65</v>
      </c>
      <c r="X39" s="4">
        <f>14*0.5-0.5</f>
        <v>6.5</v>
      </c>
      <c r="Y39" s="18">
        <f>(0.5*10)-(0.5*4)</f>
        <v>3</v>
      </c>
      <c r="Z39" s="18">
        <f>(1*14)-(1*1)</f>
        <v>13</v>
      </c>
      <c r="AA39" s="20">
        <f t="shared" si="8"/>
        <v>22.5</v>
      </c>
      <c r="AB39" s="4">
        <v>12</v>
      </c>
      <c r="AC39" s="20">
        <f t="shared" si="12"/>
        <v>34.5</v>
      </c>
    </row>
    <row r="40" spans="1:29" x14ac:dyDescent="0.3">
      <c r="A40">
        <f t="shared" si="13"/>
        <v>13</v>
      </c>
      <c r="B40" t="str">
        <f t="shared" si="9"/>
        <v>Richard McGovern</v>
      </c>
      <c r="C40" s="14">
        <f t="shared" si="27"/>
        <v>6</v>
      </c>
      <c r="D40" s="14">
        <f t="shared" si="27"/>
        <v>5</v>
      </c>
      <c r="E40" s="14">
        <f t="shared" si="27"/>
        <v>4</v>
      </c>
      <c r="F40" s="14">
        <f t="shared" si="28"/>
        <v>5</v>
      </c>
      <c r="G40" s="14">
        <f t="shared" si="28"/>
        <v>2</v>
      </c>
      <c r="H40" s="14">
        <f>+H15-1</f>
        <v>3</v>
      </c>
      <c r="I40" s="14">
        <f t="shared" si="28"/>
        <v>4</v>
      </c>
      <c r="J40" s="14">
        <f>+J15-1</f>
        <v>6</v>
      </c>
      <c r="K40" s="14">
        <f t="shared" si="28"/>
        <v>1</v>
      </c>
      <c r="L40" s="12">
        <f>SUM(C40:K40)</f>
        <v>36</v>
      </c>
      <c r="M40" s="14">
        <f>+M15-1</f>
        <v>5</v>
      </c>
      <c r="N40" s="14">
        <f>+N15-1</f>
        <v>4</v>
      </c>
      <c r="O40" s="14">
        <f>+O15-1</f>
        <v>6</v>
      </c>
      <c r="P40" s="14">
        <f>+P15-1</f>
        <v>6</v>
      </c>
      <c r="Q40" s="14">
        <f>+Q15-2</f>
        <v>2</v>
      </c>
      <c r="R40" s="14">
        <f>+R15-1</f>
        <v>3</v>
      </c>
      <c r="S40" s="14">
        <f>+S15-2</f>
        <v>5</v>
      </c>
      <c r="T40" s="14">
        <f>+T15-1</f>
        <v>4</v>
      </c>
      <c r="U40" s="14">
        <f>+U15-2</f>
        <v>3</v>
      </c>
      <c r="V40" s="12">
        <f t="shared" si="10"/>
        <v>38</v>
      </c>
      <c r="W40" s="12">
        <f t="shared" si="11"/>
        <v>74</v>
      </c>
      <c r="X40" s="4">
        <f>(0.5*10)-(0.5*5)</f>
        <v>2.5</v>
      </c>
      <c r="Y40" s="18">
        <f>(0.5*1)-(0.5*13)</f>
        <v>-6</v>
      </c>
      <c r="Z40" s="18">
        <f>(1*4)-(1*11)</f>
        <v>-7</v>
      </c>
      <c r="AA40" s="20">
        <f t="shared" si="8"/>
        <v>-10.5</v>
      </c>
      <c r="AB40" s="4">
        <v>-1.5</v>
      </c>
      <c r="AC40" s="20">
        <f t="shared" si="12"/>
        <v>-12</v>
      </c>
    </row>
    <row r="41" spans="1:29" x14ac:dyDescent="0.3">
      <c r="A41">
        <f t="shared" si="13"/>
        <v>14</v>
      </c>
      <c r="B41" t="str">
        <f t="shared" si="9"/>
        <v>Mike Fitzgerald</v>
      </c>
      <c r="C41" s="14">
        <f>+C16-1</f>
        <v>4</v>
      </c>
      <c r="D41" s="14">
        <f>+D16</f>
        <v>4</v>
      </c>
      <c r="E41" s="14">
        <f>+E16</f>
        <v>6</v>
      </c>
      <c r="F41" s="14">
        <f t="shared" ref="F41:N41" si="29">+F16-1</f>
        <v>5</v>
      </c>
      <c r="G41" s="14">
        <f t="shared" si="29"/>
        <v>3</v>
      </c>
      <c r="H41" s="14">
        <f t="shared" si="29"/>
        <v>3</v>
      </c>
      <c r="I41" s="14">
        <f t="shared" si="29"/>
        <v>3</v>
      </c>
      <c r="J41" s="14">
        <f>+J16</f>
        <v>5</v>
      </c>
      <c r="K41" s="14">
        <f t="shared" si="29"/>
        <v>3</v>
      </c>
      <c r="L41" s="12">
        <f t="shared" ref="L41:L42" si="30">SUM(C41:K41)</f>
        <v>36</v>
      </c>
      <c r="M41" s="14">
        <f>+M16</f>
        <v>4</v>
      </c>
      <c r="N41" s="14">
        <f>+N16</f>
        <v>6</v>
      </c>
      <c r="O41" s="14">
        <f>+O16</f>
        <v>5</v>
      </c>
      <c r="P41" s="14">
        <f t="shared" ref="P41:U41" si="31">+P16-1</f>
        <v>3</v>
      </c>
      <c r="Q41" s="14">
        <f t="shared" si="31"/>
        <v>2</v>
      </c>
      <c r="R41" s="14">
        <f t="shared" si="31"/>
        <v>3</v>
      </c>
      <c r="S41" s="14">
        <f>+S16-1</f>
        <v>3</v>
      </c>
      <c r="T41" s="14">
        <f>+T16</f>
        <v>3</v>
      </c>
      <c r="U41" s="14">
        <f>+U16-1</f>
        <v>4</v>
      </c>
      <c r="V41" s="12">
        <f t="shared" si="10"/>
        <v>33</v>
      </c>
      <c r="W41" s="12">
        <f t="shared" si="11"/>
        <v>69</v>
      </c>
      <c r="X41" s="4">
        <f>(0.5*2)-(0.5*12)</f>
        <v>-5</v>
      </c>
      <c r="Y41" s="4">
        <f>(0.5*7)-(0.5*7)</f>
        <v>0</v>
      </c>
      <c r="Z41" s="18">
        <f>(1*3)-(1*12)</f>
        <v>-9</v>
      </c>
      <c r="AA41" s="20">
        <f t="shared" si="8"/>
        <v>-14</v>
      </c>
      <c r="AB41" s="4">
        <v>-2.2000000000000002</v>
      </c>
      <c r="AC41" s="20">
        <f t="shared" si="12"/>
        <v>-16.2</v>
      </c>
    </row>
    <row r="42" spans="1:29" x14ac:dyDescent="0.3">
      <c r="A42">
        <f t="shared" si="13"/>
        <v>15</v>
      </c>
      <c r="B42" t="str">
        <f t="shared" si="9"/>
        <v>Matt Brauer</v>
      </c>
      <c r="C42" s="14">
        <f>+C17</f>
        <v>4</v>
      </c>
      <c r="D42" s="14">
        <f t="shared" ref="D42:J42" si="32">+D17</f>
        <v>5</v>
      </c>
      <c r="E42" s="14">
        <f t="shared" si="32"/>
        <v>7</v>
      </c>
      <c r="F42" s="14">
        <f>+F17-1</f>
        <v>5</v>
      </c>
      <c r="G42" s="14">
        <f>+G17-1</f>
        <v>3</v>
      </c>
      <c r="H42" s="14">
        <f t="shared" si="32"/>
        <v>3</v>
      </c>
      <c r="I42" s="14">
        <f>+I17</f>
        <v>5</v>
      </c>
      <c r="J42" s="14">
        <f t="shared" si="32"/>
        <v>5</v>
      </c>
      <c r="K42" s="14">
        <f>+K17-1</f>
        <v>2</v>
      </c>
      <c r="L42" s="12">
        <f t="shared" si="30"/>
        <v>39</v>
      </c>
      <c r="M42" s="14">
        <f t="shared" ref="M42:T42" si="33">+M17</f>
        <v>5</v>
      </c>
      <c r="N42" s="14">
        <f t="shared" si="33"/>
        <v>5</v>
      </c>
      <c r="O42" s="14">
        <f t="shared" si="33"/>
        <v>5</v>
      </c>
      <c r="P42" s="14">
        <f t="shared" si="33"/>
        <v>6</v>
      </c>
      <c r="Q42" s="14">
        <f>+Q17-1</f>
        <v>2</v>
      </c>
      <c r="R42" s="14">
        <f t="shared" si="33"/>
        <v>3</v>
      </c>
      <c r="S42" s="14">
        <f>+S17-1</f>
        <v>3</v>
      </c>
      <c r="T42" s="14">
        <f t="shared" si="33"/>
        <v>4</v>
      </c>
      <c r="U42" s="14">
        <f>+U17-1</f>
        <v>3</v>
      </c>
      <c r="V42" s="12">
        <f t="shared" si="10"/>
        <v>36</v>
      </c>
      <c r="W42" s="12">
        <f t="shared" si="11"/>
        <v>75</v>
      </c>
      <c r="X42" s="4"/>
      <c r="Y42" s="4"/>
      <c r="Z42" s="18">
        <f t="shared" ref="Z42:Z49" si="34">(1*3)-(1*12)</f>
        <v>-9</v>
      </c>
      <c r="AA42" s="20">
        <f t="shared" ref="AA42:AA49" si="35">SUM(X42:Z42)</f>
        <v>-9</v>
      </c>
      <c r="AB42" s="4">
        <v>-2.2000000000000002</v>
      </c>
      <c r="AC42" s="20">
        <f t="shared" ref="AC42:AC49" si="36">SUM(AA42:AB42)</f>
        <v>-11.2</v>
      </c>
    </row>
    <row r="43" spans="1:29" x14ac:dyDescent="0.3">
      <c r="A43">
        <f t="shared" si="13"/>
        <v>16</v>
      </c>
      <c r="B43" t="str">
        <f t="shared" si="9"/>
        <v>Blake Dougan</v>
      </c>
      <c r="C43" s="14">
        <f t="shared" ref="C43:E43" si="37">+C18-1</f>
        <v>6</v>
      </c>
      <c r="D43" s="14">
        <f t="shared" si="37"/>
        <v>6</v>
      </c>
      <c r="E43" s="14">
        <f t="shared" si="37"/>
        <v>3</v>
      </c>
      <c r="F43" s="14">
        <f>+F18-2</f>
        <v>7</v>
      </c>
      <c r="G43" s="14">
        <f>+G18-2</f>
        <v>3</v>
      </c>
      <c r="H43" s="14">
        <f>+H18-2</f>
        <v>3</v>
      </c>
      <c r="I43" s="14">
        <f>+I18-2</f>
        <v>2</v>
      </c>
      <c r="J43" s="14">
        <f>+J18-1</f>
        <v>4</v>
      </c>
      <c r="K43" s="14">
        <f>+K18-2</f>
        <v>2</v>
      </c>
      <c r="L43" s="12">
        <f>SUM(C43:K43)</f>
        <v>36</v>
      </c>
      <c r="M43" s="14">
        <f>+M18-1</f>
        <v>5</v>
      </c>
      <c r="N43" s="14">
        <f>+N18-1</f>
        <v>5</v>
      </c>
      <c r="O43" s="14">
        <f>+O18-1</f>
        <v>6</v>
      </c>
      <c r="P43" s="14">
        <f t="shared" ref="P43:S43" si="38">+P18-2</f>
        <v>6</v>
      </c>
      <c r="Q43" s="14">
        <f t="shared" si="38"/>
        <v>1</v>
      </c>
      <c r="R43" s="14">
        <f t="shared" si="38"/>
        <v>1</v>
      </c>
      <c r="S43" s="14">
        <f t="shared" si="38"/>
        <v>6</v>
      </c>
      <c r="T43" s="14">
        <f>+T18-1</f>
        <v>5</v>
      </c>
      <c r="U43" s="14">
        <f>+U18-2</f>
        <v>3</v>
      </c>
      <c r="V43" s="12">
        <f t="shared" si="10"/>
        <v>38</v>
      </c>
      <c r="W43" s="12">
        <f t="shared" si="11"/>
        <v>74</v>
      </c>
      <c r="X43" s="4"/>
      <c r="Y43" s="4"/>
      <c r="Z43" s="18">
        <f t="shared" si="34"/>
        <v>-9</v>
      </c>
      <c r="AA43" s="20">
        <f t="shared" si="35"/>
        <v>-9</v>
      </c>
      <c r="AB43" s="4">
        <v>-2.2000000000000002</v>
      </c>
      <c r="AC43" s="20">
        <f t="shared" si="36"/>
        <v>-11.2</v>
      </c>
    </row>
    <row r="44" spans="1:29" x14ac:dyDescent="0.3">
      <c r="A44">
        <f t="shared" si="13"/>
        <v>17</v>
      </c>
      <c r="B44" t="str">
        <f t="shared" si="9"/>
        <v>Mike Dougan</v>
      </c>
      <c r="C44" s="14">
        <f>+C19-1</f>
        <v>5</v>
      </c>
      <c r="D44" s="14">
        <f>+D19-1</f>
        <v>4</v>
      </c>
      <c r="E44" s="14">
        <f>+E19-1</f>
        <v>5</v>
      </c>
      <c r="F44" s="14">
        <f>+F19-1</f>
        <v>6</v>
      </c>
      <c r="G44" s="14">
        <f>+G19-2</f>
        <v>1</v>
      </c>
      <c r="H44" s="14">
        <f>+H19-1</f>
        <v>3</v>
      </c>
      <c r="I44" s="14">
        <f>+I19-2</f>
        <v>3</v>
      </c>
      <c r="J44" s="14">
        <f>+J19-1</f>
        <v>5</v>
      </c>
      <c r="K44" s="14">
        <f>+K19-2</f>
        <v>3</v>
      </c>
      <c r="L44" s="12">
        <f t="shared" ref="L44" si="39">SUM(C44:K44)</f>
        <v>35</v>
      </c>
      <c r="M44" s="14">
        <f>+M19-1</f>
        <v>5</v>
      </c>
      <c r="N44" s="14">
        <f>+N19-1</f>
        <v>5</v>
      </c>
      <c r="O44" s="14">
        <f>+O19-1</f>
        <v>5</v>
      </c>
      <c r="P44" s="14">
        <f>+P19-1</f>
        <v>6</v>
      </c>
      <c r="Q44" s="14">
        <f>+Q19-2</f>
        <v>1</v>
      </c>
      <c r="R44" s="14">
        <f>+R19-1</f>
        <v>4</v>
      </c>
      <c r="S44" s="14">
        <f>+S19-2</f>
        <v>3</v>
      </c>
      <c r="T44" s="14">
        <f>+T19-1</f>
        <v>4</v>
      </c>
      <c r="U44" s="14">
        <f>+U19-2</f>
        <v>5</v>
      </c>
      <c r="V44" s="12">
        <f t="shared" si="10"/>
        <v>38</v>
      </c>
      <c r="W44" s="12">
        <f t="shared" si="11"/>
        <v>73</v>
      </c>
      <c r="X44" s="4"/>
      <c r="Y44" s="4"/>
      <c r="Z44" s="18">
        <f t="shared" si="34"/>
        <v>-9</v>
      </c>
      <c r="AA44" s="20">
        <f t="shared" si="35"/>
        <v>-9</v>
      </c>
      <c r="AB44" s="4">
        <v>-2.2000000000000002</v>
      </c>
      <c r="AC44" s="20">
        <f t="shared" si="36"/>
        <v>-11.2</v>
      </c>
    </row>
    <row r="45" spans="1:29" x14ac:dyDescent="0.3">
      <c r="A45">
        <f t="shared" si="13"/>
        <v>18</v>
      </c>
      <c r="B45" t="str">
        <f t="shared" si="9"/>
        <v>TJ Williams</v>
      </c>
      <c r="C45" s="14">
        <f t="shared" ref="C45:E45" si="40">+C20-1</f>
        <v>4</v>
      </c>
      <c r="D45" s="14">
        <f t="shared" si="40"/>
        <v>3</v>
      </c>
      <c r="E45" s="14">
        <f t="shared" si="40"/>
        <v>6</v>
      </c>
      <c r="F45" s="14">
        <f t="shared" ref="F45:K45" si="41">+F20-2</f>
        <v>5</v>
      </c>
      <c r="G45" s="14">
        <f t="shared" si="41"/>
        <v>3</v>
      </c>
      <c r="H45" s="14">
        <f>+H20-1</f>
        <v>3</v>
      </c>
      <c r="I45" s="14">
        <f t="shared" si="41"/>
        <v>3</v>
      </c>
      <c r="J45" s="14">
        <f>+J20-1</f>
        <v>5</v>
      </c>
      <c r="K45" s="14">
        <f t="shared" si="41"/>
        <v>3</v>
      </c>
      <c r="L45" s="12">
        <f>SUM(C45:K45)</f>
        <v>35</v>
      </c>
      <c r="M45" s="14">
        <f>+M20-1</f>
        <v>4</v>
      </c>
      <c r="N45" s="14">
        <f>+N20-1</f>
        <v>4</v>
      </c>
      <c r="O45" s="14">
        <f>+O20-1</f>
        <v>3</v>
      </c>
      <c r="P45" s="14">
        <f>+P20-1</f>
        <v>6</v>
      </c>
      <c r="Q45" s="14">
        <f>+Q20-2</f>
        <v>3</v>
      </c>
      <c r="R45" s="14">
        <f>+R20-1</f>
        <v>3</v>
      </c>
      <c r="S45" s="14">
        <f>+S20-2</f>
        <v>5</v>
      </c>
      <c r="T45" s="14">
        <f>+T20-1</f>
        <v>6</v>
      </c>
      <c r="U45" s="14">
        <f>+U20-2</f>
        <v>5</v>
      </c>
      <c r="V45" s="12">
        <f t="shared" si="10"/>
        <v>39</v>
      </c>
      <c r="W45" s="12">
        <f t="shared" si="11"/>
        <v>74</v>
      </c>
      <c r="X45" s="4"/>
      <c r="Y45" s="4"/>
      <c r="Z45" s="18">
        <f t="shared" si="34"/>
        <v>-9</v>
      </c>
      <c r="AA45" s="20">
        <f t="shared" si="35"/>
        <v>-9</v>
      </c>
      <c r="AB45" s="4">
        <v>-2.2000000000000002</v>
      </c>
      <c r="AC45" s="20">
        <f t="shared" si="36"/>
        <v>-11.2</v>
      </c>
    </row>
    <row r="46" spans="1:29" x14ac:dyDescent="0.3">
      <c r="A46">
        <f t="shared" si="13"/>
        <v>19</v>
      </c>
      <c r="B46" t="str">
        <f t="shared" si="9"/>
        <v>Brian McGovern</v>
      </c>
      <c r="C46" s="14">
        <f>+C21-1</f>
        <v>-1</v>
      </c>
      <c r="D46" s="14">
        <f>+D21</f>
        <v>0</v>
      </c>
      <c r="E46" s="14">
        <f>+E21</f>
        <v>0</v>
      </c>
      <c r="F46" s="14">
        <f t="shared" ref="F46:K46" si="42">+F21-1</f>
        <v>-1</v>
      </c>
      <c r="G46" s="14">
        <f t="shared" si="42"/>
        <v>-1</v>
      </c>
      <c r="H46" s="14">
        <f t="shared" si="42"/>
        <v>-1</v>
      </c>
      <c r="I46" s="14">
        <f t="shared" si="42"/>
        <v>-1</v>
      </c>
      <c r="J46" s="14">
        <f t="shared" si="42"/>
        <v>-1</v>
      </c>
      <c r="K46" s="14">
        <f t="shared" si="42"/>
        <v>-1</v>
      </c>
      <c r="L46" s="12">
        <f>SUM(C46:K46)</f>
        <v>-7</v>
      </c>
      <c r="M46" s="14">
        <f>+M21-1</f>
        <v>-1</v>
      </c>
      <c r="N46" s="14">
        <f>+N21</f>
        <v>0</v>
      </c>
      <c r="O46" s="14">
        <f>+O21</f>
        <v>0</v>
      </c>
      <c r="P46" s="14">
        <f t="shared" ref="P46:U46" si="43">+P21-1</f>
        <v>-1</v>
      </c>
      <c r="Q46" s="14">
        <f t="shared" si="43"/>
        <v>-1</v>
      </c>
      <c r="R46" s="14">
        <f t="shared" si="43"/>
        <v>-1</v>
      </c>
      <c r="S46" s="14">
        <f t="shared" si="43"/>
        <v>-1</v>
      </c>
      <c r="T46" s="14">
        <f t="shared" si="43"/>
        <v>-1</v>
      </c>
      <c r="U46" s="14">
        <f t="shared" si="43"/>
        <v>-1</v>
      </c>
      <c r="V46" s="12">
        <f t="shared" si="10"/>
        <v>-7</v>
      </c>
      <c r="W46" s="12">
        <f t="shared" si="11"/>
        <v>-14</v>
      </c>
      <c r="X46" s="4"/>
      <c r="Y46" s="4"/>
      <c r="Z46" s="18">
        <f t="shared" si="34"/>
        <v>-9</v>
      </c>
      <c r="AA46" s="20">
        <f t="shared" si="35"/>
        <v>-9</v>
      </c>
      <c r="AB46" s="4">
        <v>-2.2000000000000002</v>
      </c>
      <c r="AC46" s="20">
        <f t="shared" si="36"/>
        <v>-11.2</v>
      </c>
    </row>
    <row r="47" spans="1:29" x14ac:dyDescent="0.3">
      <c r="A47">
        <f t="shared" si="13"/>
        <v>20</v>
      </c>
      <c r="B47" t="str">
        <f t="shared" si="9"/>
        <v>Dave Keyser</v>
      </c>
      <c r="C47" s="14">
        <f t="shared" ref="C47:E47" si="44">+C22-1</f>
        <v>4</v>
      </c>
      <c r="D47" s="14">
        <f t="shared" si="44"/>
        <v>3</v>
      </c>
      <c r="E47" s="14">
        <f t="shared" si="44"/>
        <v>7</v>
      </c>
      <c r="F47" s="14">
        <f>+F22-2</f>
        <v>5</v>
      </c>
      <c r="G47" s="14">
        <f>+G22-2</f>
        <v>3</v>
      </c>
      <c r="H47" s="14">
        <f>+H22-2</f>
        <v>2</v>
      </c>
      <c r="I47" s="14">
        <f>+I22-2</f>
        <v>5</v>
      </c>
      <c r="J47" s="14">
        <f>+J22-1</f>
        <v>5</v>
      </c>
      <c r="K47" s="14">
        <f>+K22-2</f>
        <v>4</v>
      </c>
      <c r="L47" s="12">
        <f>SUM(C47:K47)</f>
        <v>38</v>
      </c>
      <c r="M47" s="14">
        <f>+M22-1</f>
        <v>4</v>
      </c>
      <c r="N47" s="14">
        <f>+N22-1</f>
        <v>6</v>
      </c>
      <c r="O47" s="14">
        <f>+O22-1</f>
        <v>6</v>
      </c>
      <c r="P47" s="14">
        <f t="shared" ref="P47:S47" si="45">+P22-2</f>
        <v>5</v>
      </c>
      <c r="Q47" s="14">
        <f t="shared" si="45"/>
        <v>2</v>
      </c>
      <c r="R47" s="14">
        <f t="shared" si="45"/>
        <v>3</v>
      </c>
      <c r="S47" s="14">
        <f t="shared" si="45"/>
        <v>4</v>
      </c>
      <c r="T47" s="14">
        <f>+T22-1</f>
        <v>6</v>
      </c>
      <c r="U47" s="14">
        <f>+U22-2</f>
        <v>4</v>
      </c>
      <c r="V47" s="12">
        <f t="shared" si="10"/>
        <v>40</v>
      </c>
      <c r="W47" s="12">
        <f t="shared" si="11"/>
        <v>78</v>
      </c>
      <c r="X47" s="4"/>
      <c r="Y47" s="4"/>
      <c r="Z47" s="18">
        <f t="shared" si="34"/>
        <v>-9</v>
      </c>
      <c r="AA47" s="20">
        <f t="shared" si="35"/>
        <v>-9</v>
      </c>
      <c r="AB47" s="4">
        <v>-2.2000000000000002</v>
      </c>
      <c r="AC47" s="20">
        <f t="shared" si="36"/>
        <v>-11.2</v>
      </c>
    </row>
    <row r="48" spans="1:29" x14ac:dyDescent="0.3">
      <c r="A48">
        <f t="shared" si="13"/>
        <v>21</v>
      </c>
      <c r="B48" t="str">
        <f t="shared" si="9"/>
        <v>Jack Sullivan</v>
      </c>
      <c r="C48" s="14">
        <f>+C23-2</f>
        <v>5</v>
      </c>
      <c r="D48" s="14">
        <f>+D23-1</f>
        <v>5</v>
      </c>
      <c r="E48" s="14">
        <f t="shared" ref="D48:K48" si="46">+E23-2</f>
        <v>4</v>
      </c>
      <c r="F48" s="14">
        <f t="shared" si="46"/>
        <v>6</v>
      </c>
      <c r="G48" s="14">
        <f t="shared" si="46"/>
        <v>2</v>
      </c>
      <c r="H48" s="14">
        <f t="shared" si="46"/>
        <v>2</v>
      </c>
      <c r="I48" s="14">
        <f t="shared" si="46"/>
        <v>5</v>
      </c>
      <c r="J48" s="14">
        <f t="shared" si="46"/>
        <v>4</v>
      </c>
      <c r="K48" s="14">
        <f t="shared" si="46"/>
        <v>3</v>
      </c>
      <c r="L48" s="12">
        <f>SUM(C48:K48)</f>
        <v>36</v>
      </c>
      <c r="M48" s="14">
        <f t="shared" ref="M48:U48" si="47">+M23-2</f>
        <v>2</v>
      </c>
      <c r="N48" s="14">
        <f>+N23-1</f>
        <v>4</v>
      </c>
      <c r="O48" s="14">
        <f t="shared" si="47"/>
        <v>5</v>
      </c>
      <c r="P48" s="14">
        <f t="shared" si="47"/>
        <v>5</v>
      </c>
      <c r="Q48" s="14">
        <f t="shared" si="47"/>
        <v>1</v>
      </c>
      <c r="R48" s="14">
        <f t="shared" si="47"/>
        <v>1</v>
      </c>
      <c r="S48" s="14">
        <f t="shared" si="47"/>
        <v>4</v>
      </c>
      <c r="T48" s="14">
        <f t="shared" si="47"/>
        <v>5</v>
      </c>
      <c r="U48" s="14">
        <f t="shared" si="47"/>
        <v>3</v>
      </c>
      <c r="V48" s="12">
        <f t="shared" si="10"/>
        <v>30</v>
      </c>
      <c r="W48" s="12">
        <f t="shared" si="11"/>
        <v>66</v>
      </c>
      <c r="X48" s="4"/>
      <c r="Y48" s="4"/>
      <c r="Z48" s="18">
        <f t="shared" si="34"/>
        <v>-9</v>
      </c>
      <c r="AA48" s="20">
        <f t="shared" si="35"/>
        <v>-9</v>
      </c>
      <c r="AB48" s="4">
        <v>-2.2000000000000002</v>
      </c>
      <c r="AC48" s="20">
        <f t="shared" si="36"/>
        <v>-11.2</v>
      </c>
    </row>
    <row r="49" spans="1:29" x14ac:dyDescent="0.3">
      <c r="A49">
        <f t="shared" si="13"/>
        <v>22</v>
      </c>
      <c r="B49" t="str">
        <f t="shared" si="9"/>
        <v>Chris Flynn</v>
      </c>
      <c r="C49" s="14">
        <f t="shared" ref="C49:K49" si="48">+C24-1</f>
        <v>4</v>
      </c>
      <c r="D49" s="14">
        <f t="shared" si="48"/>
        <v>8</v>
      </c>
      <c r="E49" s="14">
        <f t="shared" si="48"/>
        <v>4</v>
      </c>
      <c r="F49" s="14">
        <f t="shared" si="48"/>
        <v>4</v>
      </c>
      <c r="G49" s="14">
        <f>+G24-2</f>
        <v>3</v>
      </c>
      <c r="H49" s="14">
        <f>+H24-1</f>
        <v>2</v>
      </c>
      <c r="I49" s="14">
        <f>+I24-2</f>
        <v>4</v>
      </c>
      <c r="J49" s="14">
        <f>+J24-1</f>
        <v>4</v>
      </c>
      <c r="K49" s="14">
        <f>+K24-1</f>
        <v>3</v>
      </c>
      <c r="L49" s="12">
        <f t="shared" ref="L49" si="49">SUM(C49:K49)</f>
        <v>36</v>
      </c>
      <c r="M49" s="14">
        <f t="shared" ref="M49:R49" si="50">+M24-1</f>
        <v>3</v>
      </c>
      <c r="N49" s="14">
        <f t="shared" si="50"/>
        <v>8</v>
      </c>
      <c r="O49" s="14">
        <f t="shared" si="50"/>
        <v>3</v>
      </c>
      <c r="P49" s="14">
        <f t="shared" si="50"/>
        <v>5</v>
      </c>
      <c r="Q49" s="14">
        <f>+Q24-2</f>
        <v>3</v>
      </c>
      <c r="R49" s="14">
        <f t="shared" si="50"/>
        <v>3</v>
      </c>
      <c r="S49" s="14">
        <f>+S24-2</f>
        <v>2</v>
      </c>
      <c r="T49" s="14">
        <f>+T24-1</f>
        <v>4</v>
      </c>
      <c r="U49" s="14">
        <f>+U24-1</f>
        <v>3</v>
      </c>
      <c r="V49" s="12">
        <f t="shared" si="10"/>
        <v>34</v>
      </c>
      <c r="W49" s="12">
        <f t="shared" si="11"/>
        <v>70</v>
      </c>
      <c r="X49" s="4">
        <f>(0.5*5)-(0.5*10)</f>
        <v>-2.5</v>
      </c>
      <c r="Y49" s="4">
        <f>(0.5*7)-(0.5*7)</f>
        <v>0</v>
      </c>
      <c r="Z49" s="18">
        <f t="shared" si="34"/>
        <v>-9</v>
      </c>
      <c r="AA49" s="20">
        <f>SUM(X49:Z49)</f>
        <v>-11.5</v>
      </c>
      <c r="AB49" s="4">
        <v>-2.2000000000000002</v>
      </c>
      <c r="AC49" s="20">
        <f t="shared" si="36"/>
        <v>-13.7</v>
      </c>
    </row>
    <row r="50" spans="1:29" x14ac:dyDescent="0.3">
      <c r="B50" s="1" t="s">
        <v>19</v>
      </c>
      <c r="L50" s="6"/>
      <c r="V50" s="6"/>
      <c r="W50" s="6"/>
      <c r="X50" s="4">
        <f t="shared" ref="X50:AC50" si="51">SUM(X28:X49)</f>
        <v>6.5</v>
      </c>
      <c r="Y50" s="4">
        <f t="shared" si="51"/>
        <v>-1.5</v>
      </c>
      <c r="Z50" s="4">
        <f t="shared" si="51"/>
        <v>-60</v>
      </c>
      <c r="AA50" s="4">
        <f t="shared" si="51"/>
        <v>-55</v>
      </c>
      <c r="AB50" s="4">
        <f t="shared" si="51"/>
        <v>-13.3</v>
      </c>
      <c r="AC50" s="4">
        <f t="shared" si="51"/>
        <v>-68.3</v>
      </c>
    </row>
    <row r="51" spans="1:29" x14ac:dyDescent="0.3">
      <c r="B51" t="str">
        <f>+B28</f>
        <v>Colin Sullivan</v>
      </c>
      <c r="C51">
        <v>4</v>
      </c>
      <c r="D51">
        <v>10</v>
      </c>
      <c r="E51">
        <v>0</v>
      </c>
      <c r="F51">
        <v>1</v>
      </c>
      <c r="G51">
        <v>9</v>
      </c>
      <c r="H51">
        <v>5</v>
      </c>
      <c r="I51">
        <v>2</v>
      </c>
      <c r="J51">
        <v>6</v>
      </c>
      <c r="K51">
        <v>2</v>
      </c>
      <c r="L51" s="6"/>
      <c r="M51">
        <v>11</v>
      </c>
      <c r="N51">
        <v>6</v>
      </c>
      <c r="O51">
        <v>1</v>
      </c>
      <c r="P51">
        <v>2</v>
      </c>
      <c r="Q51">
        <v>8</v>
      </c>
      <c r="R51">
        <v>8</v>
      </c>
      <c r="S51">
        <v>2</v>
      </c>
      <c r="T51">
        <v>9</v>
      </c>
      <c r="U51">
        <v>2</v>
      </c>
      <c r="V51" s="6"/>
      <c r="W51" s="6"/>
    </row>
    <row r="52" spans="1:29" x14ac:dyDescent="0.3">
      <c r="B52" t="str">
        <f t="shared" ref="B52:B72" si="52">+B29</f>
        <v>Bernie Sullivan</v>
      </c>
      <c r="C52">
        <v>14</v>
      </c>
      <c r="D52">
        <v>6</v>
      </c>
      <c r="E52">
        <v>6</v>
      </c>
      <c r="F52">
        <v>0</v>
      </c>
      <c r="G52">
        <v>9</v>
      </c>
      <c r="H52">
        <v>1</v>
      </c>
      <c r="I52">
        <v>2</v>
      </c>
      <c r="J52">
        <v>6</v>
      </c>
      <c r="K52">
        <v>0</v>
      </c>
      <c r="L52" s="6"/>
      <c r="M52">
        <v>6</v>
      </c>
      <c r="N52">
        <v>1</v>
      </c>
      <c r="O52">
        <v>10</v>
      </c>
      <c r="P52">
        <v>2</v>
      </c>
      <c r="Q52">
        <v>8</v>
      </c>
      <c r="R52">
        <v>2</v>
      </c>
      <c r="S52">
        <v>0</v>
      </c>
      <c r="T52">
        <v>4</v>
      </c>
      <c r="U52">
        <v>4</v>
      </c>
      <c r="V52" s="6"/>
      <c r="W52" s="6"/>
    </row>
    <row r="53" spans="1:29" x14ac:dyDescent="0.3">
      <c r="B53" t="str">
        <f t="shared" si="52"/>
        <v>Joe McCardel</v>
      </c>
      <c r="C53">
        <v>8</v>
      </c>
      <c r="D53">
        <v>0</v>
      </c>
      <c r="E53">
        <v>2</v>
      </c>
      <c r="F53">
        <v>1</v>
      </c>
      <c r="G53">
        <v>0</v>
      </c>
      <c r="H53">
        <f>+H51</f>
        <v>5</v>
      </c>
      <c r="I53">
        <v>2</v>
      </c>
      <c r="J53">
        <v>1</v>
      </c>
      <c r="K53">
        <v>10</v>
      </c>
      <c r="L53" s="6"/>
      <c r="M53">
        <v>1</v>
      </c>
      <c r="N53">
        <v>1</v>
      </c>
      <c r="O53">
        <v>0</v>
      </c>
      <c r="P53">
        <v>2</v>
      </c>
      <c r="Q53">
        <v>0</v>
      </c>
      <c r="R53">
        <v>4</v>
      </c>
      <c r="S53">
        <v>2</v>
      </c>
      <c r="T53">
        <v>4</v>
      </c>
      <c r="U53">
        <v>2</v>
      </c>
      <c r="V53" s="6"/>
      <c r="W53" s="6"/>
    </row>
    <row r="54" spans="1:29" x14ac:dyDescent="0.3">
      <c r="B54" t="str">
        <f t="shared" si="52"/>
        <v>Dave Brauer</v>
      </c>
      <c r="C54">
        <v>8</v>
      </c>
      <c r="D54">
        <v>6</v>
      </c>
      <c r="E54">
        <v>2</v>
      </c>
      <c r="F54">
        <v>1</v>
      </c>
      <c r="G54">
        <v>3</v>
      </c>
      <c r="H54">
        <v>2</v>
      </c>
      <c r="I54">
        <v>9</v>
      </c>
      <c r="J54">
        <v>1</v>
      </c>
      <c r="K54">
        <v>2</v>
      </c>
      <c r="L54" s="6"/>
      <c r="M54">
        <f>+M52</f>
        <v>6</v>
      </c>
      <c r="N54">
        <v>6</v>
      </c>
      <c r="O54">
        <v>6</v>
      </c>
      <c r="P54">
        <v>0</v>
      </c>
      <c r="Q54">
        <v>2</v>
      </c>
      <c r="R54">
        <v>4</v>
      </c>
      <c r="S54">
        <v>11</v>
      </c>
      <c r="T54">
        <v>9</v>
      </c>
      <c r="U54">
        <v>4</v>
      </c>
      <c r="V54" s="6"/>
      <c r="W54" s="6"/>
    </row>
    <row r="55" spans="1:29" x14ac:dyDescent="0.3">
      <c r="B55" t="str">
        <f t="shared" si="52"/>
        <v>John Sullivan</v>
      </c>
      <c r="C55">
        <v>8</v>
      </c>
      <c r="D55" s="7">
        <v>10</v>
      </c>
      <c r="E55">
        <v>6</v>
      </c>
      <c r="F55">
        <v>10</v>
      </c>
      <c r="G55">
        <v>9</v>
      </c>
      <c r="H55">
        <v>0</v>
      </c>
      <c r="I55">
        <v>2</v>
      </c>
      <c r="J55">
        <v>6</v>
      </c>
      <c r="K55">
        <v>10</v>
      </c>
      <c r="L55" s="6"/>
      <c r="M55">
        <f>+M53</f>
        <v>1</v>
      </c>
      <c r="N55">
        <v>11</v>
      </c>
      <c r="O55">
        <v>6</v>
      </c>
      <c r="P55">
        <v>2</v>
      </c>
      <c r="Q55">
        <v>2</v>
      </c>
      <c r="R55">
        <v>4</v>
      </c>
      <c r="S55">
        <v>10</v>
      </c>
      <c r="T55">
        <v>4</v>
      </c>
      <c r="U55">
        <v>4</v>
      </c>
      <c r="V55" s="6"/>
      <c r="W55" s="6"/>
    </row>
    <row r="56" spans="1:29" x14ac:dyDescent="0.3">
      <c r="B56" t="str">
        <f t="shared" si="52"/>
        <v>Ralph</v>
      </c>
      <c r="C56">
        <v>8</v>
      </c>
      <c r="D56">
        <v>4</v>
      </c>
      <c r="E56">
        <v>2</v>
      </c>
      <c r="F56">
        <v>10</v>
      </c>
      <c r="G56">
        <v>3</v>
      </c>
      <c r="H56">
        <f>+H53</f>
        <v>5</v>
      </c>
      <c r="I56">
        <v>0</v>
      </c>
      <c r="J56">
        <v>6</v>
      </c>
      <c r="K56">
        <v>2</v>
      </c>
      <c r="L56" s="6"/>
      <c r="M56">
        <f>+M54</f>
        <v>6</v>
      </c>
      <c r="N56">
        <v>0</v>
      </c>
      <c r="O56">
        <v>1</v>
      </c>
      <c r="P56">
        <v>2</v>
      </c>
      <c r="Q56">
        <v>2</v>
      </c>
      <c r="R56">
        <v>0</v>
      </c>
      <c r="S56">
        <v>0</v>
      </c>
      <c r="T56">
        <v>4</v>
      </c>
      <c r="U56">
        <v>1</v>
      </c>
      <c r="V56" s="6"/>
      <c r="W56" s="6"/>
    </row>
    <row r="57" spans="1:29" x14ac:dyDescent="0.3">
      <c r="B57" t="str">
        <f t="shared" si="52"/>
        <v>Leo</v>
      </c>
      <c r="C57">
        <v>15</v>
      </c>
      <c r="D57">
        <v>1</v>
      </c>
      <c r="E57">
        <v>6</v>
      </c>
      <c r="F57">
        <v>5</v>
      </c>
      <c r="G57">
        <v>1</v>
      </c>
      <c r="H57">
        <v>11</v>
      </c>
      <c r="I57">
        <v>0</v>
      </c>
      <c r="J57">
        <v>1</v>
      </c>
      <c r="K57">
        <v>2</v>
      </c>
      <c r="L57" s="6"/>
      <c r="M57">
        <v>1</v>
      </c>
      <c r="N57">
        <v>6</v>
      </c>
      <c r="O57">
        <v>1</v>
      </c>
      <c r="P57">
        <v>2</v>
      </c>
      <c r="Q57">
        <v>2</v>
      </c>
      <c r="R57">
        <v>8</v>
      </c>
      <c r="S57">
        <f>+S51</f>
        <v>2</v>
      </c>
      <c r="T57">
        <v>1</v>
      </c>
      <c r="U57">
        <v>11</v>
      </c>
      <c r="V57" s="6"/>
      <c r="W57" s="6"/>
    </row>
    <row r="58" spans="1:29" x14ac:dyDescent="0.3">
      <c r="B58" t="str">
        <f t="shared" si="52"/>
        <v>Matt Lawrence</v>
      </c>
      <c r="C58">
        <f>+C56</f>
        <v>8</v>
      </c>
      <c r="D58">
        <v>6</v>
      </c>
      <c r="E58">
        <v>6</v>
      </c>
      <c r="F58">
        <v>5</v>
      </c>
      <c r="G58">
        <v>2</v>
      </c>
      <c r="H58">
        <v>2</v>
      </c>
      <c r="I58">
        <v>9</v>
      </c>
      <c r="J58">
        <v>1</v>
      </c>
      <c r="K58">
        <v>2</v>
      </c>
      <c r="L58" s="6"/>
      <c r="M58">
        <f>+M56</f>
        <v>6</v>
      </c>
      <c r="N58">
        <v>6</v>
      </c>
      <c r="O58">
        <v>6</v>
      </c>
      <c r="P58">
        <v>2</v>
      </c>
      <c r="Q58">
        <v>0</v>
      </c>
      <c r="R58">
        <v>8</v>
      </c>
      <c r="S58">
        <v>2</v>
      </c>
      <c r="T58">
        <v>4</v>
      </c>
      <c r="U58">
        <v>4</v>
      </c>
      <c r="V58" s="6"/>
      <c r="W58" s="6"/>
    </row>
    <row r="59" spans="1:29" x14ac:dyDescent="0.3">
      <c r="B59" t="str">
        <f t="shared" si="52"/>
        <v>Jerry Flynn</v>
      </c>
      <c r="C59">
        <f>+C58</f>
        <v>8</v>
      </c>
      <c r="D59">
        <v>4</v>
      </c>
      <c r="E59">
        <v>0</v>
      </c>
      <c r="F59">
        <v>5</v>
      </c>
      <c r="G59">
        <v>3</v>
      </c>
      <c r="H59">
        <f>+H56</f>
        <v>5</v>
      </c>
      <c r="I59">
        <v>2</v>
      </c>
      <c r="J59">
        <v>6</v>
      </c>
      <c r="K59">
        <v>0</v>
      </c>
      <c r="L59" s="6"/>
      <c r="M59">
        <v>0</v>
      </c>
      <c r="N59">
        <v>1</v>
      </c>
      <c r="O59">
        <v>1</v>
      </c>
      <c r="P59">
        <v>2</v>
      </c>
      <c r="Q59">
        <v>2</v>
      </c>
      <c r="R59">
        <v>8</v>
      </c>
      <c r="S59">
        <v>2</v>
      </c>
      <c r="T59">
        <v>1</v>
      </c>
      <c r="U59">
        <v>4</v>
      </c>
      <c r="V59" s="6"/>
      <c r="W59" s="6"/>
    </row>
    <row r="60" spans="1:29" x14ac:dyDescent="0.3">
      <c r="B60" t="str">
        <f t="shared" si="52"/>
        <v>Mike Flynn</v>
      </c>
      <c r="C60">
        <v>4</v>
      </c>
      <c r="D60">
        <v>6</v>
      </c>
      <c r="E60">
        <v>6</v>
      </c>
      <c r="F60">
        <v>5</v>
      </c>
      <c r="G60">
        <v>3</v>
      </c>
      <c r="H60">
        <v>9</v>
      </c>
      <c r="I60">
        <v>2</v>
      </c>
      <c r="J60">
        <v>1</v>
      </c>
      <c r="K60">
        <v>2</v>
      </c>
      <c r="L60" s="6"/>
      <c r="M60">
        <v>1</v>
      </c>
      <c r="N60">
        <v>1</v>
      </c>
      <c r="O60">
        <v>6</v>
      </c>
      <c r="P60">
        <v>2</v>
      </c>
      <c r="Q60">
        <v>8</v>
      </c>
      <c r="R60">
        <v>8</v>
      </c>
      <c r="S60">
        <v>2</v>
      </c>
      <c r="T60">
        <v>1</v>
      </c>
      <c r="U60">
        <v>4</v>
      </c>
      <c r="V60" s="6"/>
      <c r="W60" s="6"/>
    </row>
    <row r="61" spans="1:29" x14ac:dyDescent="0.3">
      <c r="B61" t="str">
        <f t="shared" si="52"/>
        <v>Sean Flynn</v>
      </c>
      <c r="C61">
        <v>0</v>
      </c>
      <c r="D61">
        <v>1</v>
      </c>
      <c r="E61">
        <v>2</v>
      </c>
      <c r="F61">
        <v>1</v>
      </c>
      <c r="G61">
        <v>3</v>
      </c>
      <c r="H61">
        <f>+H54</f>
        <v>2</v>
      </c>
      <c r="I61">
        <v>2</v>
      </c>
      <c r="J61">
        <v>6</v>
      </c>
      <c r="K61">
        <v>2</v>
      </c>
      <c r="L61" s="6"/>
      <c r="M61">
        <f>+M58</f>
        <v>6</v>
      </c>
      <c r="N61">
        <v>6</v>
      </c>
      <c r="O61">
        <v>10</v>
      </c>
      <c r="P61">
        <v>2</v>
      </c>
      <c r="Q61">
        <v>8</v>
      </c>
      <c r="R61">
        <v>0</v>
      </c>
      <c r="S61">
        <v>2</v>
      </c>
      <c r="T61">
        <v>9</v>
      </c>
      <c r="U61">
        <v>0</v>
      </c>
      <c r="V61" s="6"/>
      <c r="W61" s="6"/>
    </row>
    <row r="62" spans="1:29" x14ac:dyDescent="0.3">
      <c r="B62" t="str">
        <f t="shared" si="52"/>
        <v>Kevin Fitzgerald</v>
      </c>
      <c r="C62">
        <v>4</v>
      </c>
      <c r="D62">
        <v>1</v>
      </c>
      <c r="E62">
        <v>11</v>
      </c>
      <c r="F62">
        <v>5</v>
      </c>
      <c r="G62">
        <v>3</v>
      </c>
      <c r="H62">
        <f>+H60</f>
        <v>9</v>
      </c>
      <c r="I62">
        <v>9</v>
      </c>
      <c r="J62">
        <v>0</v>
      </c>
      <c r="K62">
        <v>2</v>
      </c>
      <c r="L62" s="6"/>
      <c r="M62">
        <v>1</v>
      </c>
      <c r="N62">
        <v>1</v>
      </c>
      <c r="O62">
        <v>1</v>
      </c>
      <c r="P62">
        <v>0</v>
      </c>
      <c r="Q62">
        <v>2</v>
      </c>
      <c r="R62">
        <v>0</v>
      </c>
      <c r="S62">
        <v>2</v>
      </c>
      <c r="T62">
        <v>0</v>
      </c>
      <c r="U62">
        <v>4</v>
      </c>
      <c r="V62" s="6"/>
      <c r="W62" s="6"/>
    </row>
    <row r="63" spans="1:29" x14ac:dyDescent="0.3">
      <c r="B63" t="str">
        <f t="shared" si="52"/>
        <v>Richard McGovern</v>
      </c>
      <c r="C63">
        <v>1</v>
      </c>
      <c r="D63">
        <v>14</v>
      </c>
      <c r="E63">
        <v>9</v>
      </c>
      <c r="F63">
        <v>2</v>
      </c>
      <c r="G63">
        <v>2</v>
      </c>
      <c r="L63" s="6"/>
      <c r="V63" s="6"/>
      <c r="W63" s="6"/>
    </row>
    <row r="64" spans="1:29" x14ac:dyDescent="0.3">
      <c r="B64" t="str">
        <f t="shared" si="52"/>
        <v>Mike Fitzgerald</v>
      </c>
      <c r="C64">
        <v>1</v>
      </c>
      <c r="D64">
        <v>15</v>
      </c>
      <c r="E64">
        <v>0</v>
      </c>
      <c r="F64">
        <v>2</v>
      </c>
      <c r="G64">
        <v>2</v>
      </c>
      <c r="L64" s="6"/>
      <c r="V64" s="6"/>
      <c r="W64" s="6"/>
    </row>
    <row r="65" spans="2:23" x14ac:dyDescent="0.3">
      <c r="B65" t="str">
        <f t="shared" si="52"/>
        <v>Matt Brauer</v>
      </c>
      <c r="C65">
        <v>1</v>
      </c>
      <c r="D65">
        <v>1</v>
      </c>
      <c r="E65">
        <v>3</v>
      </c>
      <c r="F65">
        <v>2</v>
      </c>
      <c r="L65" s="6"/>
      <c r="V65" s="6"/>
      <c r="W65" s="6"/>
    </row>
    <row r="66" spans="2:23" x14ac:dyDescent="0.3">
      <c r="B66" t="str">
        <f t="shared" si="52"/>
        <v>Blake Dougan</v>
      </c>
      <c r="L66" s="6"/>
      <c r="V66" s="6"/>
      <c r="W66" s="6"/>
    </row>
    <row r="67" spans="2:23" x14ac:dyDescent="0.3">
      <c r="B67" t="str">
        <f t="shared" si="52"/>
        <v>Mike Dougan</v>
      </c>
      <c r="L67" s="6"/>
      <c r="V67" s="6"/>
      <c r="W67" s="6"/>
    </row>
    <row r="68" spans="2:23" x14ac:dyDescent="0.3">
      <c r="B68" t="str">
        <f t="shared" si="52"/>
        <v>TJ Williams</v>
      </c>
      <c r="L68" s="6"/>
      <c r="V68" s="6"/>
      <c r="W68" s="6"/>
    </row>
    <row r="69" spans="2:23" x14ac:dyDescent="0.3">
      <c r="B69" t="str">
        <f t="shared" si="52"/>
        <v>Brian McGovern</v>
      </c>
      <c r="L69" s="6"/>
      <c r="V69" s="6"/>
      <c r="W69" s="6"/>
    </row>
    <row r="70" spans="2:23" x14ac:dyDescent="0.3">
      <c r="B70" t="str">
        <f t="shared" si="52"/>
        <v>Dave Keyser</v>
      </c>
      <c r="C70">
        <f>+C60</f>
        <v>4</v>
      </c>
      <c r="D70">
        <v>6</v>
      </c>
      <c r="E70">
        <v>14</v>
      </c>
      <c r="F70">
        <v>0</v>
      </c>
      <c r="L70" s="6"/>
      <c r="V70" s="6"/>
      <c r="W70" s="6"/>
    </row>
    <row r="71" spans="2:23" x14ac:dyDescent="0.3">
      <c r="B71" t="str">
        <f t="shared" si="52"/>
        <v>Jack Sullivan</v>
      </c>
      <c r="L71" s="6"/>
      <c r="V71" s="6"/>
      <c r="W71" s="6"/>
    </row>
    <row r="72" spans="2:23" x14ac:dyDescent="0.3">
      <c r="B72" t="str">
        <f t="shared" si="52"/>
        <v>Chris Flynn</v>
      </c>
      <c r="L72" s="6"/>
      <c r="V72" s="6"/>
      <c r="W72" s="6"/>
    </row>
    <row r="73" spans="2:23" x14ac:dyDescent="0.3">
      <c r="C73">
        <f>SUM(C51:C72)</f>
        <v>96</v>
      </c>
      <c r="D73">
        <f t="shared" ref="D73:K73" si="53">SUM(D51:D72)</f>
        <v>91</v>
      </c>
      <c r="E73">
        <f t="shared" si="53"/>
        <v>75</v>
      </c>
      <c r="F73">
        <f t="shared" si="53"/>
        <v>55</v>
      </c>
      <c r="G73">
        <f t="shared" si="53"/>
        <v>52</v>
      </c>
      <c r="H73">
        <f t="shared" si="53"/>
        <v>56</v>
      </c>
      <c r="I73">
        <f t="shared" si="53"/>
        <v>41</v>
      </c>
      <c r="J73">
        <f t="shared" si="53"/>
        <v>41</v>
      </c>
      <c r="K73">
        <f t="shared" si="53"/>
        <v>36</v>
      </c>
      <c r="L73" s="6"/>
      <c r="M73">
        <f t="shared" ref="M73:U73" si="54">SUM(M51:M72)</f>
        <v>46</v>
      </c>
      <c r="N73">
        <f t="shared" si="54"/>
        <v>46</v>
      </c>
      <c r="O73">
        <f t="shared" si="54"/>
        <v>49</v>
      </c>
      <c r="P73">
        <f t="shared" si="54"/>
        <v>20</v>
      </c>
      <c r="Q73">
        <f t="shared" si="54"/>
        <v>44</v>
      </c>
      <c r="R73">
        <f t="shared" si="54"/>
        <v>54</v>
      </c>
      <c r="S73">
        <f t="shared" si="54"/>
        <v>37</v>
      </c>
      <c r="T73">
        <f t="shared" si="54"/>
        <v>50</v>
      </c>
      <c r="U73">
        <f t="shared" si="54"/>
        <v>44</v>
      </c>
      <c r="V73" s="6"/>
      <c r="W73" s="6"/>
    </row>
    <row r="74" spans="2:23" x14ac:dyDescent="0.3">
      <c r="B74" s="1" t="s">
        <v>20</v>
      </c>
      <c r="L74" s="6"/>
      <c r="V74" s="6"/>
      <c r="W74" s="6"/>
    </row>
    <row r="75" spans="2:23" x14ac:dyDescent="0.3">
      <c r="B75" t="str">
        <f>+B51</f>
        <v>Colin Sullivan</v>
      </c>
      <c r="C75" s="5">
        <v>-8</v>
      </c>
      <c r="D75" s="5">
        <v>0</v>
      </c>
      <c r="E75" s="5">
        <v>-10</v>
      </c>
      <c r="F75" s="5">
        <v>-7</v>
      </c>
      <c r="G75" s="5">
        <v>0</v>
      </c>
      <c r="H75" s="5">
        <v>-3</v>
      </c>
      <c r="I75" s="5">
        <v>-3</v>
      </c>
      <c r="J75" s="5">
        <v>0</v>
      </c>
      <c r="K75" s="5">
        <v>-2</v>
      </c>
      <c r="L75" s="12"/>
      <c r="M75" s="5">
        <v>0</v>
      </c>
      <c r="N75" s="5">
        <v>-1</v>
      </c>
      <c r="O75" s="5">
        <v>-6</v>
      </c>
      <c r="P75" s="5">
        <v>0</v>
      </c>
      <c r="Q75" s="5">
        <v>0</v>
      </c>
      <c r="R75" s="5">
        <v>0</v>
      </c>
      <c r="S75" s="5">
        <v>-2</v>
      </c>
      <c r="T75" s="5">
        <v>0</v>
      </c>
      <c r="U75" s="5">
        <v>-8</v>
      </c>
      <c r="V75" s="12"/>
      <c r="W75" s="12"/>
    </row>
    <row r="76" spans="2:23" x14ac:dyDescent="0.3">
      <c r="B76" t="str">
        <f t="shared" ref="B76:B96" si="55">+B52</f>
        <v>Bernie Sullivan</v>
      </c>
      <c r="C76" s="5">
        <v>-1</v>
      </c>
      <c r="D76" s="5">
        <v>-2</v>
      </c>
      <c r="E76" s="5">
        <v>-1</v>
      </c>
      <c r="F76" s="5">
        <v>-11</v>
      </c>
      <c r="G76" s="5">
        <v>0</v>
      </c>
      <c r="H76" s="5">
        <v>-10</v>
      </c>
      <c r="I76" s="5">
        <v>-3</v>
      </c>
      <c r="J76" s="5">
        <v>0</v>
      </c>
      <c r="K76" s="5">
        <v>-10</v>
      </c>
      <c r="L76" s="12"/>
      <c r="M76" s="5">
        <v>-1</v>
      </c>
      <c r="N76" s="5">
        <v>-6</v>
      </c>
      <c r="O76" s="5">
        <v>0</v>
      </c>
      <c r="P76" s="5">
        <v>0</v>
      </c>
      <c r="Q76" s="5">
        <v>0</v>
      </c>
      <c r="R76" s="5">
        <v>-9</v>
      </c>
      <c r="S76" s="5">
        <v>-10</v>
      </c>
      <c r="T76" s="5">
        <v>-3</v>
      </c>
      <c r="U76" s="5">
        <v>-1</v>
      </c>
      <c r="V76" s="12"/>
      <c r="W76" s="12"/>
    </row>
    <row r="77" spans="2:23" x14ac:dyDescent="0.3">
      <c r="B77" t="str">
        <f t="shared" si="55"/>
        <v>Joe McCardel</v>
      </c>
      <c r="C77" s="5">
        <v>-2</v>
      </c>
      <c r="D77" s="5">
        <v>-11</v>
      </c>
      <c r="E77" s="5">
        <v>-6</v>
      </c>
      <c r="F77" s="5">
        <v>-7</v>
      </c>
      <c r="G77" s="5">
        <v>-11</v>
      </c>
      <c r="H77" s="5">
        <f>+H75</f>
        <v>-3</v>
      </c>
      <c r="I77" s="5">
        <v>-3</v>
      </c>
      <c r="J77" s="5">
        <v>-6</v>
      </c>
      <c r="K77" s="5">
        <v>0</v>
      </c>
      <c r="L77" s="12"/>
      <c r="M77" s="5">
        <v>-6</v>
      </c>
      <c r="N77" s="5">
        <f>+N76</f>
        <v>-6</v>
      </c>
      <c r="O77" s="5">
        <v>-11</v>
      </c>
      <c r="P77" s="5">
        <v>0</v>
      </c>
      <c r="Q77" s="5">
        <v>-10</v>
      </c>
      <c r="R77" s="5">
        <v>-4</v>
      </c>
      <c r="S77" s="5">
        <v>-2</v>
      </c>
      <c r="T77" s="5">
        <v>-3</v>
      </c>
      <c r="U77" s="5">
        <v>-8</v>
      </c>
      <c r="V77" s="12"/>
      <c r="W77" s="12"/>
    </row>
    <row r="78" spans="2:23" x14ac:dyDescent="0.3">
      <c r="B78" t="str">
        <f t="shared" si="55"/>
        <v>Dave Brauer</v>
      </c>
      <c r="C78" s="5">
        <v>-2</v>
      </c>
      <c r="D78" s="5">
        <v>-2</v>
      </c>
      <c r="E78" s="5">
        <v>-6</v>
      </c>
      <c r="F78" s="5">
        <v>-7</v>
      </c>
      <c r="G78" s="5">
        <v>-3</v>
      </c>
      <c r="H78" s="5">
        <v>-7</v>
      </c>
      <c r="I78" s="5">
        <v>0</v>
      </c>
      <c r="J78" s="5">
        <v>-6</v>
      </c>
      <c r="K78" s="5">
        <v>-2</v>
      </c>
      <c r="L78" s="12"/>
      <c r="M78" s="5">
        <f>+M76</f>
        <v>-1</v>
      </c>
      <c r="N78" s="5">
        <f>+N75</f>
        <v>-1</v>
      </c>
      <c r="O78" s="5">
        <v>-2</v>
      </c>
      <c r="P78" s="5">
        <v>-10</v>
      </c>
      <c r="Q78" s="5">
        <v>-4</v>
      </c>
      <c r="R78" s="5">
        <v>-4</v>
      </c>
      <c r="S78" s="5">
        <v>0</v>
      </c>
      <c r="T78" s="5">
        <v>0</v>
      </c>
      <c r="U78" s="5">
        <v>-1</v>
      </c>
      <c r="V78" s="12"/>
      <c r="W78" s="12"/>
    </row>
    <row r="79" spans="2:23" x14ac:dyDescent="0.3">
      <c r="B79" t="str">
        <f t="shared" si="55"/>
        <v>John Sullivan</v>
      </c>
      <c r="C79" s="5">
        <v>-2</v>
      </c>
      <c r="D79" s="5">
        <v>0</v>
      </c>
      <c r="E79" s="5">
        <v>-1</v>
      </c>
      <c r="F79" s="5">
        <v>0</v>
      </c>
      <c r="G79" s="5">
        <v>0</v>
      </c>
      <c r="H79" s="5">
        <v>-11</v>
      </c>
      <c r="I79" s="5">
        <v>-3</v>
      </c>
      <c r="J79" s="5">
        <v>0</v>
      </c>
      <c r="K79" s="5">
        <v>0</v>
      </c>
      <c r="L79" s="12"/>
      <c r="M79" s="5">
        <f>+M77</f>
        <v>-6</v>
      </c>
      <c r="N79" s="5">
        <v>0</v>
      </c>
      <c r="O79" s="5">
        <v>-2</v>
      </c>
      <c r="P79" s="5">
        <v>0</v>
      </c>
      <c r="Q79" s="5">
        <v>-4</v>
      </c>
      <c r="R79" s="5">
        <v>-4</v>
      </c>
      <c r="S79" s="5">
        <v>-1</v>
      </c>
      <c r="T79" s="5">
        <v>-3</v>
      </c>
      <c r="U79" s="5">
        <v>-1</v>
      </c>
      <c r="V79" s="12"/>
      <c r="W79" s="12"/>
    </row>
    <row r="80" spans="2:23" x14ac:dyDescent="0.3">
      <c r="B80" t="str">
        <f t="shared" si="55"/>
        <v>Ralph</v>
      </c>
      <c r="C80" s="5">
        <v>-2</v>
      </c>
      <c r="D80" s="5">
        <v>-6</v>
      </c>
      <c r="E80" s="5">
        <v>-6</v>
      </c>
      <c r="F80" s="5">
        <v>0</v>
      </c>
      <c r="G80" s="5">
        <v>-3</v>
      </c>
      <c r="H80" s="5">
        <f>+H77</f>
        <v>-3</v>
      </c>
      <c r="I80" s="5">
        <v>-10</v>
      </c>
      <c r="J80" s="5">
        <v>0</v>
      </c>
      <c r="K80" s="5">
        <v>-2</v>
      </c>
      <c r="L80" s="12"/>
      <c r="M80" s="5">
        <f>+M76</f>
        <v>-1</v>
      </c>
      <c r="N80" s="5">
        <v>-11</v>
      </c>
      <c r="O80" s="5">
        <v>-6</v>
      </c>
      <c r="P80" s="5">
        <v>0</v>
      </c>
      <c r="Q80" s="5">
        <v>-4</v>
      </c>
      <c r="R80" s="5">
        <v>-10</v>
      </c>
      <c r="S80" s="5">
        <v>-10</v>
      </c>
      <c r="T80" s="5">
        <v>-3</v>
      </c>
      <c r="U80" s="5">
        <v>-10</v>
      </c>
      <c r="V80" s="12"/>
      <c r="W80" s="12"/>
    </row>
    <row r="81" spans="2:23" x14ac:dyDescent="0.3">
      <c r="B81" t="str">
        <f t="shared" si="55"/>
        <v>Leo</v>
      </c>
      <c r="C81" s="5">
        <v>0</v>
      </c>
      <c r="D81" s="5">
        <v>-8</v>
      </c>
      <c r="E81" s="5">
        <v>-1</v>
      </c>
      <c r="F81" s="5">
        <v>-2</v>
      </c>
      <c r="G81" s="5">
        <v>-10</v>
      </c>
      <c r="H81" s="5">
        <v>0</v>
      </c>
      <c r="I81" s="5">
        <f>+I80</f>
        <v>-10</v>
      </c>
      <c r="J81" s="5">
        <v>-6</v>
      </c>
      <c r="K81" s="5">
        <v>-2</v>
      </c>
      <c r="L81" s="12"/>
      <c r="M81" s="5">
        <f>+M77</f>
        <v>-6</v>
      </c>
      <c r="N81" s="5">
        <f>+N75</f>
        <v>-1</v>
      </c>
      <c r="O81" s="5">
        <v>-6</v>
      </c>
      <c r="P81" s="5">
        <v>0</v>
      </c>
      <c r="Q81" s="5">
        <v>-4</v>
      </c>
      <c r="R81" s="5">
        <v>0</v>
      </c>
      <c r="S81" s="5">
        <v>-2</v>
      </c>
      <c r="T81" s="5">
        <v>-8</v>
      </c>
      <c r="U81" s="5">
        <v>0</v>
      </c>
      <c r="V81" s="12"/>
      <c r="W81" s="12"/>
    </row>
    <row r="82" spans="2:23" x14ac:dyDescent="0.3">
      <c r="B82" t="str">
        <f t="shared" si="55"/>
        <v>Matt Lawrence</v>
      </c>
      <c r="C82" s="5">
        <v>-4</v>
      </c>
      <c r="D82" s="5">
        <v>-2</v>
      </c>
      <c r="E82" s="5">
        <v>-1</v>
      </c>
      <c r="F82" s="5">
        <v>-2</v>
      </c>
      <c r="G82" s="5">
        <v>-9</v>
      </c>
      <c r="H82" s="5">
        <f>+H78</f>
        <v>-7</v>
      </c>
      <c r="I82" s="5">
        <v>0</v>
      </c>
      <c r="J82" s="5">
        <v>-6</v>
      </c>
      <c r="K82" s="5">
        <v>-2</v>
      </c>
      <c r="L82" s="12"/>
      <c r="M82" s="5">
        <f>+M76</f>
        <v>-1</v>
      </c>
      <c r="N82" s="5">
        <f>+N81</f>
        <v>-1</v>
      </c>
      <c r="O82" s="5">
        <f>+O79</f>
        <v>-2</v>
      </c>
      <c r="P82" s="5">
        <v>0</v>
      </c>
      <c r="Q82" s="5">
        <v>-10</v>
      </c>
      <c r="R82" s="5">
        <v>0</v>
      </c>
      <c r="S82" s="5">
        <v>-2</v>
      </c>
      <c r="T82" s="5">
        <v>-3</v>
      </c>
      <c r="U82" s="5">
        <v>-1</v>
      </c>
      <c r="V82" s="12"/>
      <c r="W82" s="12"/>
    </row>
    <row r="83" spans="2:23" x14ac:dyDescent="0.3">
      <c r="B83" t="str">
        <f t="shared" si="55"/>
        <v>Jerry Flynn</v>
      </c>
      <c r="C83" s="5">
        <v>-2</v>
      </c>
      <c r="D83" s="5">
        <v>-6</v>
      </c>
      <c r="E83" s="5">
        <v>-10</v>
      </c>
      <c r="F83" s="5">
        <v>-2</v>
      </c>
      <c r="G83" s="5">
        <v>-3</v>
      </c>
      <c r="H83" s="5">
        <f>+H80</f>
        <v>-3</v>
      </c>
      <c r="I83" s="5">
        <v>-3</v>
      </c>
      <c r="J83" s="5">
        <v>0</v>
      </c>
      <c r="K83" s="5">
        <v>-10</v>
      </c>
      <c r="L83" s="12"/>
      <c r="M83" s="5">
        <v>-11</v>
      </c>
      <c r="N83" s="5">
        <f>+N76</f>
        <v>-6</v>
      </c>
      <c r="O83" s="5">
        <f>+O75</f>
        <v>-6</v>
      </c>
      <c r="P83" s="5">
        <v>0</v>
      </c>
      <c r="Q83" s="5">
        <v>-4</v>
      </c>
      <c r="R83" s="5">
        <v>0</v>
      </c>
      <c r="S83" s="5">
        <v>-2</v>
      </c>
      <c r="T83" s="5">
        <v>-8</v>
      </c>
      <c r="U83" s="5">
        <v>-1</v>
      </c>
      <c r="V83" s="12"/>
      <c r="W83" s="12"/>
    </row>
    <row r="84" spans="2:23" x14ac:dyDescent="0.3">
      <c r="B84" t="str">
        <f t="shared" si="55"/>
        <v>Mike Flynn</v>
      </c>
      <c r="C84" s="5">
        <v>-8</v>
      </c>
      <c r="D84" s="5">
        <v>-2</v>
      </c>
      <c r="E84" s="5">
        <v>-1</v>
      </c>
      <c r="F84" s="5">
        <v>-2</v>
      </c>
      <c r="G84" s="5">
        <v>-3</v>
      </c>
      <c r="H84" s="5">
        <v>-1</v>
      </c>
      <c r="I84" s="5">
        <v>-3</v>
      </c>
      <c r="J84" s="5">
        <v>-6</v>
      </c>
      <c r="K84" s="5">
        <v>-2</v>
      </c>
      <c r="L84" s="12"/>
      <c r="M84" s="5">
        <f>+M81</f>
        <v>-6</v>
      </c>
      <c r="N84" s="5">
        <f>+N83</f>
        <v>-6</v>
      </c>
      <c r="O84" s="5">
        <f>+O82</f>
        <v>-2</v>
      </c>
      <c r="P84" s="5">
        <v>0</v>
      </c>
      <c r="Q84" s="5">
        <v>0</v>
      </c>
      <c r="R84" s="5">
        <v>-4</v>
      </c>
      <c r="S84" s="5">
        <v>-2</v>
      </c>
      <c r="T84" s="5">
        <v>-8</v>
      </c>
      <c r="U84" s="5">
        <v>-1</v>
      </c>
      <c r="V84" s="12"/>
      <c r="W84" s="12"/>
    </row>
    <row r="85" spans="2:23" x14ac:dyDescent="0.3">
      <c r="B85" t="str">
        <f t="shared" si="55"/>
        <v>Sean Flynn</v>
      </c>
      <c r="C85" s="5">
        <v>-15</v>
      </c>
      <c r="D85" s="5">
        <v>-8</v>
      </c>
      <c r="E85" s="5">
        <v>-6</v>
      </c>
      <c r="F85" s="5">
        <v>-7</v>
      </c>
      <c r="G85" s="5">
        <v>-3</v>
      </c>
      <c r="H85" s="5">
        <f>+H78</f>
        <v>-7</v>
      </c>
      <c r="I85" s="5">
        <v>-3</v>
      </c>
      <c r="J85" s="5">
        <v>0</v>
      </c>
      <c r="K85" s="5">
        <v>-2</v>
      </c>
      <c r="L85" s="12"/>
      <c r="M85" s="5">
        <f>+M82</f>
        <v>-1</v>
      </c>
      <c r="N85" s="5">
        <f>+N82</f>
        <v>-1</v>
      </c>
      <c r="O85" s="5">
        <v>0</v>
      </c>
      <c r="P85" s="5">
        <v>0</v>
      </c>
      <c r="Q85" s="5">
        <v>0</v>
      </c>
      <c r="R85" s="5">
        <v>-10</v>
      </c>
      <c r="S85" s="5">
        <v>-2</v>
      </c>
      <c r="T85" s="5">
        <v>0</v>
      </c>
      <c r="U85" s="5">
        <v>-11</v>
      </c>
      <c r="V85" s="12"/>
      <c r="W85" s="12"/>
    </row>
    <row r="86" spans="2:23" x14ac:dyDescent="0.3">
      <c r="B86" t="str">
        <f t="shared" si="55"/>
        <v>Kevin Fitzgerald</v>
      </c>
      <c r="C86" s="5">
        <v>-8</v>
      </c>
      <c r="D86" s="5">
        <v>-8</v>
      </c>
      <c r="E86" s="5">
        <v>0</v>
      </c>
      <c r="F86" s="5">
        <v>-2</v>
      </c>
      <c r="G86" s="5">
        <v>-3</v>
      </c>
      <c r="H86" s="5">
        <f>+H84</f>
        <v>-1</v>
      </c>
      <c r="I86" s="5">
        <v>0</v>
      </c>
      <c r="J86" s="5">
        <v>-11</v>
      </c>
      <c r="K86" s="5">
        <v>-2</v>
      </c>
      <c r="L86" s="12"/>
      <c r="M86" s="5">
        <f>+M84</f>
        <v>-6</v>
      </c>
      <c r="N86" s="5">
        <f>+N84</f>
        <v>-6</v>
      </c>
      <c r="O86" s="5">
        <f>+O81</f>
        <v>-6</v>
      </c>
      <c r="P86" s="5">
        <v>-10</v>
      </c>
      <c r="Q86" s="5">
        <v>-4</v>
      </c>
      <c r="R86" s="5">
        <v>-9</v>
      </c>
      <c r="S86" s="5">
        <v>-2</v>
      </c>
      <c r="T86" s="5">
        <v>-11</v>
      </c>
      <c r="U86" s="5">
        <v>-1</v>
      </c>
      <c r="V86" s="12"/>
      <c r="W86" s="12"/>
    </row>
    <row r="87" spans="2:23" x14ac:dyDescent="0.3">
      <c r="B87" t="str">
        <f t="shared" si="55"/>
        <v>Richard McGovern</v>
      </c>
      <c r="C87" s="5"/>
      <c r="D87" s="5"/>
      <c r="E87" s="5"/>
      <c r="F87" s="5"/>
      <c r="G87" s="5"/>
      <c r="H87" s="5"/>
      <c r="I87" s="5"/>
      <c r="J87" s="5"/>
      <c r="K87" s="5"/>
      <c r="L87" s="12"/>
      <c r="M87" s="5"/>
      <c r="N87" s="5"/>
      <c r="O87" s="5"/>
      <c r="P87" s="5"/>
      <c r="Q87" s="5"/>
      <c r="R87" s="5"/>
      <c r="S87" s="5"/>
      <c r="T87" s="5"/>
      <c r="U87" s="5"/>
      <c r="V87" s="12"/>
      <c r="W87" s="12"/>
    </row>
    <row r="88" spans="2:23" x14ac:dyDescent="0.3">
      <c r="B88" t="str">
        <f t="shared" si="55"/>
        <v>Mike Fitzgerald</v>
      </c>
      <c r="C88" s="5"/>
      <c r="D88" s="5"/>
      <c r="E88" s="5"/>
      <c r="F88" s="5"/>
      <c r="G88" s="5"/>
      <c r="H88" s="5"/>
      <c r="I88" s="5"/>
      <c r="J88" s="5"/>
      <c r="K88" s="5"/>
      <c r="L88" s="12"/>
      <c r="M88" s="5"/>
      <c r="N88" s="5"/>
      <c r="O88" s="5"/>
      <c r="P88" s="5"/>
      <c r="Q88" s="5"/>
      <c r="R88" s="5"/>
      <c r="S88" s="5"/>
      <c r="T88" s="5"/>
      <c r="U88" s="5"/>
      <c r="V88" s="12"/>
      <c r="W88" s="12"/>
    </row>
    <row r="89" spans="2:23" x14ac:dyDescent="0.3">
      <c r="B89" t="str">
        <f t="shared" si="55"/>
        <v>Matt Brauer</v>
      </c>
      <c r="C89" s="5"/>
      <c r="D89" s="5"/>
      <c r="E89" s="5"/>
      <c r="F89" s="5"/>
      <c r="G89" s="5"/>
      <c r="H89" s="5"/>
      <c r="I89" s="5"/>
      <c r="J89" s="5"/>
      <c r="K89" s="5"/>
      <c r="L89" s="12"/>
      <c r="M89" s="5"/>
      <c r="N89" s="5"/>
      <c r="O89" s="5"/>
      <c r="P89" s="5"/>
      <c r="Q89" s="5"/>
      <c r="R89" s="5"/>
      <c r="S89" s="5"/>
      <c r="T89" s="5"/>
      <c r="U89" s="5"/>
      <c r="V89" s="12"/>
      <c r="W89" s="12"/>
    </row>
    <row r="90" spans="2:23" x14ac:dyDescent="0.3">
      <c r="B90" t="str">
        <f t="shared" si="55"/>
        <v>Blake Dougan</v>
      </c>
      <c r="C90" s="5"/>
      <c r="D90" s="5"/>
      <c r="E90" s="5"/>
      <c r="F90" s="5"/>
      <c r="G90" s="5"/>
      <c r="H90" s="5"/>
      <c r="I90" s="5"/>
      <c r="J90" s="5"/>
      <c r="K90" s="5"/>
      <c r="L90" s="12"/>
      <c r="M90" s="5"/>
      <c r="N90" s="5"/>
      <c r="O90" s="5"/>
      <c r="P90" s="5"/>
      <c r="Q90" s="5"/>
      <c r="R90" s="5"/>
      <c r="S90" s="5"/>
      <c r="T90" s="5"/>
      <c r="U90" s="5"/>
      <c r="V90" s="12"/>
      <c r="W90" s="12"/>
    </row>
    <row r="91" spans="2:23" x14ac:dyDescent="0.3">
      <c r="B91" t="str">
        <f t="shared" si="55"/>
        <v>Mike Dougan</v>
      </c>
      <c r="C91" s="5"/>
      <c r="D91" s="5"/>
      <c r="E91" s="5"/>
      <c r="F91" s="5"/>
      <c r="G91" s="5"/>
      <c r="H91" s="5"/>
      <c r="I91" s="5"/>
      <c r="J91" s="5"/>
      <c r="K91" s="5"/>
      <c r="L91" s="12"/>
      <c r="M91" s="5"/>
      <c r="N91" s="5"/>
      <c r="O91" s="5"/>
      <c r="P91" s="5"/>
      <c r="Q91" s="5"/>
      <c r="R91" s="5"/>
      <c r="S91" s="5"/>
      <c r="T91" s="5"/>
      <c r="U91" s="5"/>
      <c r="V91" s="12"/>
      <c r="W91" s="12"/>
    </row>
    <row r="92" spans="2:23" x14ac:dyDescent="0.3">
      <c r="B92" t="str">
        <f t="shared" si="55"/>
        <v>TJ Williams</v>
      </c>
      <c r="C92" s="5"/>
      <c r="D92" s="5"/>
      <c r="E92" s="5"/>
      <c r="F92" s="5"/>
      <c r="G92" s="5"/>
      <c r="H92" s="5"/>
      <c r="I92" s="5"/>
      <c r="J92" s="5"/>
      <c r="K92" s="5"/>
      <c r="L92" s="12"/>
      <c r="M92" s="5"/>
      <c r="N92" s="5"/>
      <c r="O92" s="5"/>
      <c r="P92" s="5"/>
      <c r="Q92" s="5"/>
      <c r="R92" s="5"/>
      <c r="S92" s="5"/>
      <c r="T92" s="5"/>
      <c r="U92" s="5"/>
      <c r="V92" s="12"/>
      <c r="W92" s="12"/>
    </row>
    <row r="93" spans="2:23" x14ac:dyDescent="0.3">
      <c r="B93" t="str">
        <f t="shared" si="55"/>
        <v>Brian McGovern</v>
      </c>
      <c r="C93" s="5">
        <v>-12</v>
      </c>
      <c r="D93" s="5"/>
      <c r="E93" s="5"/>
      <c r="F93" s="5"/>
      <c r="G93" s="5"/>
      <c r="H93" s="5"/>
      <c r="I93" s="5"/>
      <c r="J93" s="5"/>
      <c r="K93" s="5"/>
      <c r="L93" s="12"/>
      <c r="M93" s="5"/>
      <c r="N93" s="5"/>
      <c r="O93" s="5"/>
      <c r="P93" s="5"/>
      <c r="Q93" s="5"/>
      <c r="R93" s="5"/>
      <c r="S93" s="5"/>
      <c r="T93" s="5"/>
      <c r="U93" s="5"/>
      <c r="V93" s="12"/>
      <c r="W93" s="12"/>
    </row>
    <row r="94" spans="2:23" x14ac:dyDescent="0.3">
      <c r="B94" t="str">
        <f t="shared" si="55"/>
        <v>Dave Keyser</v>
      </c>
      <c r="C94" s="5">
        <v>-12</v>
      </c>
      <c r="D94" s="5"/>
      <c r="E94" s="5"/>
      <c r="F94" s="5"/>
      <c r="G94" s="5"/>
      <c r="H94" s="5"/>
      <c r="I94" s="5"/>
      <c r="J94" s="5"/>
      <c r="K94" s="5"/>
      <c r="L94" s="12"/>
      <c r="M94" s="5"/>
      <c r="N94" s="5"/>
      <c r="O94" s="5"/>
      <c r="P94" s="5"/>
      <c r="Q94" s="5"/>
      <c r="R94" s="5"/>
      <c r="S94" s="5"/>
      <c r="T94" s="5"/>
      <c r="U94" s="5"/>
      <c r="V94" s="12"/>
      <c r="W94" s="12"/>
    </row>
    <row r="95" spans="2:23" x14ac:dyDescent="0.3">
      <c r="B95" t="str">
        <f t="shared" si="55"/>
        <v>Jack Sullivan</v>
      </c>
      <c r="C95" s="5">
        <v>-12</v>
      </c>
      <c r="D95" s="5"/>
      <c r="E95" s="5"/>
      <c r="F95" s="5"/>
      <c r="G95" s="5"/>
      <c r="H95" s="5"/>
      <c r="I95" s="5"/>
      <c r="J95" s="5"/>
      <c r="K95" s="5"/>
      <c r="L95" s="12"/>
      <c r="M95" s="5"/>
      <c r="N95" s="5"/>
      <c r="O95" s="5"/>
      <c r="P95" s="5"/>
      <c r="Q95" s="5"/>
      <c r="R95" s="5"/>
      <c r="S95" s="5"/>
      <c r="T95" s="5"/>
      <c r="U95" s="5"/>
      <c r="V95" s="12"/>
      <c r="W95" s="12"/>
    </row>
    <row r="96" spans="2:23" x14ac:dyDescent="0.3">
      <c r="B96" t="str">
        <f t="shared" si="55"/>
        <v>Chris Flynn</v>
      </c>
      <c r="C96" s="5">
        <v>-8</v>
      </c>
      <c r="D96" s="5"/>
      <c r="E96" s="5"/>
      <c r="F96" s="5"/>
      <c r="G96" s="5"/>
      <c r="H96" s="5"/>
      <c r="I96" s="5"/>
      <c r="J96" s="5"/>
      <c r="K96" s="5"/>
      <c r="L96" s="12"/>
      <c r="M96" s="5"/>
      <c r="N96" s="5"/>
      <c r="O96" s="5"/>
      <c r="P96" s="5"/>
      <c r="Q96" s="5"/>
      <c r="R96" s="5"/>
      <c r="S96" s="5"/>
      <c r="T96" s="5"/>
      <c r="U96" s="5"/>
      <c r="V96" s="12"/>
      <c r="W96" s="12"/>
    </row>
    <row r="97" spans="2:28" x14ac:dyDescent="0.3">
      <c r="C97" s="5">
        <f>SUM(C75:C96)</f>
        <v>-98</v>
      </c>
      <c r="D97" s="5">
        <f t="shared" ref="D97:K97" si="56">SUM(D75:D96)</f>
        <v>-55</v>
      </c>
      <c r="E97" s="5">
        <f t="shared" si="56"/>
        <v>-49</v>
      </c>
      <c r="F97" s="5">
        <f t="shared" si="56"/>
        <v>-49</v>
      </c>
      <c r="G97" s="5">
        <f t="shared" si="56"/>
        <v>-48</v>
      </c>
      <c r="H97" s="5">
        <f t="shared" si="56"/>
        <v>-56</v>
      </c>
      <c r="I97" s="5">
        <f t="shared" si="56"/>
        <v>-41</v>
      </c>
      <c r="J97" s="5">
        <f t="shared" si="56"/>
        <v>-41</v>
      </c>
      <c r="K97" s="5">
        <f t="shared" si="56"/>
        <v>-36</v>
      </c>
      <c r="L97" s="12"/>
      <c r="M97" s="5">
        <f t="shared" ref="M97:U97" si="57">SUM(M75:M96)</f>
        <v>-46</v>
      </c>
      <c r="N97" s="5">
        <f t="shared" si="57"/>
        <v>-46</v>
      </c>
      <c r="O97" s="5">
        <f t="shared" si="57"/>
        <v>-49</v>
      </c>
      <c r="P97" s="5">
        <f t="shared" si="57"/>
        <v>-20</v>
      </c>
      <c r="Q97" s="5">
        <f t="shared" si="57"/>
        <v>-44</v>
      </c>
      <c r="R97" s="5">
        <f t="shared" si="57"/>
        <v>-54</v>
      </c>
      <c r="S97" s="5">
        <f t="shared" si="57"/>
        <v>-37</v>
      </c>
      <c r="T97" s="5">
        <f t="shared" si="57"/>
        <v>-50</v>
      </c>
      <c r="U97" s="5">
        <f t="shared" si="57"/>
        <v>-44</v>
      </c>
      <c r="V97" s="12"/>
      <c r="W97" s="12"/>
    </row>
    <row r="98" spans="2:28" x14ac:dyDescent="0.3">
      <c r="B98" t="s">
        <v>16</v>
      </c>
      <c r="C98" s="5"/>
      <c r="D98" s="5"/>
      <c r="E98" s="5"/>
      <c r="F98" s="5"/>
      <c r="G98" s="5"/>
      <c r="H98" s="5"/>
      <c r="I98" s="5"/>
      <c r="J98" s="5"/>
      <c r="K98" s="5"/>
      <c r="L98" s="12"/>
      <c r="M98" s="5"/>
      <c r="N98" s="5"/>
      <c r="O98" s="5"/>
      <c r="P98" s="5"/>
      <c r="Q98" s="5"/>
      <c r="R98" s="5"/>
      <c r="S98" s="5"/>
      <c r="T98" s="5"/>
      <c r="U98" s="5"/>
      <c r="V98" s="12"/>
      <c r="W98" s="12"/>
      <c r="Y98" t="s">
        <v>17</v>
      </c>
      <c r="Z98" t="s">
        <v>18</v>
      </c>
      <c r="AA98" t="s">
        <v>1</v>
      </c>
    </row>
    <row r="99" spans="2:28" x14ac:dyDescent="0.3">
      <c r="B99" t="str">
        <f>+B75</f>
        <v>Colin Sullivan</v>
      </c>
      <c r="C99" s="5">
        <f t="shared" ref="C99:K114" si="58">+C51+C75</f>
        <v>-4</v>
      </c>
      <c r="D99" s="5">
        <f t="shared" si="58"/>
        <v>10</v>
      </c>
      <c r="E99" s="5">
        <f t="shared" si="58"/>
        <v>-10</v>
      </c>
      <c r="F99" s="5">
        <f t="shared" si="58"/>
        <v>-6</v>
      </c>
      <c r="G99" s="5">
        <f t="shared" si="58"/>
        <v>9</v>
      </c>
      <c r="H99" s="5">
        <f t="shared" si="58"/>
        <v>2</v>
      </c>
      <c r="I99" s="5">
        <f t="shared" si="58"/>
        <v>-1</v>
      </c>
      <c r="J99" s="5">
        <f t="shared" si="58"/>
        <v>6</v>
      </c>
      <c r="K99" s="5">
        <f t="shared" si="58"/>
        <v>0</v>
      </c>
      <c r="L99" s="12">
        <f>SUM(C99:K99)</f>
        <v>6</v>
      </c>
      <c r="M99" s="5">
        <f t="shared" ref="M99:U114" si="59">+M51+M75</f>
        <v>11</v>
      </c>
      <c r="N99" s="5">
        <f t="shared" si="59"/>
        <v>5</v>
      </c>
      <c r="O99" s="5">
        <f t="shared" si="59"/>
        <v>-5</v>
      </c>
      <c r="P99" s="5">
        <f t="shared" si="59"/>
        <v>2</v>
      </c>
      <c r="Q99" s="5">
        <f t="shared" si="59"/>
        <v>8</v>
      </c>
      <c r="R99" s="5">
        <f t="shared" si="59"/>
        <v>8</v>
      </c>
      <c r="S99" s="5">
        <f t="shared" si="59"/>
        <v>0</v>
      </c>
      <c r="T99" s="5">
        <f t="shared" si="59"/>
        <v>9</v>
      </c>
      <c r="U99" s="5">
        <f t="shared" si="59"/>
        <v>-6</v>
      </c>
      <c r="V99" s="12">
        <f>SUM(M99:U99)</f>
        <v>32</v>
      </c>
      <c r="W99" s="12">
        <f>+V99+L99</f>
        <v>38</v>
      </c>
      <c r="X99" s="3">
        <f>+W99*0.3</f>
        <v>11.4</v>
      </c>
      <c r="Y99" s="4">
        <f>3.5-1.5</f>
        <v>2</v>
      </c>
      <c r="Z99" s="4">
        <v>5</v>
      </c>
      <c r="AA99" s="4">
        <f>10-1</f>
        <v>9</v>
      </c>
      <c r="AB99" s="10">
        <f>+X99+Y99+Z99+AA99</f>
        <v>27.4</v>
      </c>
    </row>
    <row r="100" spans="2:28" x14ac:dyDescent="0.3">
      <c r="B100" t="str">
        <f t="shared" ref="B100:B120" si="60">+B76</f>
        <v>Bernie Sullivan</v>
      </c>
      <c r="C100" s="5">
        <f t="shared" si="58"/>
        <v>13</v>
      </c>
      <c r="D100" s="5">
        <f t="shared" si="58"/>
        <v>4</v>
      </c>
      <c r="E100" s="5">
        <f t="shared" si="58"/>
        <v>5</v>
      </c>
      <c r="F100" s="5">
        <f t="shared" si="58"/>
        <v>-11</v>
      </c>
      <c r="G100" s="5">
        <f t="shared" si="58"/>
        <v>9</v>
      </c>
      <c r="H100" s="5">
        <f t="shared" si="58"/>
        <v>-9</v>
      </c>
      <c r="I100" s="5">
        <f t="shared" si="58"/>
        <v>-1</v>
      </c>
      <c r="J100" s="5">
        <f t="shared" si="58"/>
        <v>6</v>
      </c>
      <c r="K100" s="5">
        <f t="shared" si="58"/>
        <v>-10</v>
      </c>
      <c r="L100" s="12">
        <f t="shared" ref="L100:L120" si="61">SUM(C100:K100)</f>
        <v>6</v>
      </c>
      <c r="M100" s="5">
        <f t="shared" si="59"/>
        <v>5</v>
      </c>
      <c r="N100" s="5">
        <f t="shared" si="59"/>
        <v>-5</v>
      </c>
      <c r="O100" s="5">
        <f t="shared" si="59"/>
        <v>10</v>
      </c>
      <c r="P100" s="5">
        <f t="shared" si="59"/>
        <v>2</v>
      </c>
      <c r="Q100" s="5">
        <f t="shared" si="59"/>
        <v>8</v>
      </c>
      <c r="R100" s="5">
        <f t="shared" si="59"/>
        <v>-7</v>
      </c>
      <c r="S100" s="5">
        <f t="shared" si="59"/>
        <v>-10</v>
      </c>
      <c r="T100" s="5">
        <f t="shared" si="59"/>
        <v>1</v>
      </c>
      <c r="U100" s="5">
        <f t="shared" si="59"/>
        <v>3</v>
      </c>
      <c r="V100" s="12">
        <f t="shared" ref="V100:V120" si="62">SUM(M100:U100)</f>
        <v>7</v>
      </c>
      <c r="W100" s="12">
        <f t="shared" ref="W100:W120" si="63">+V100+L100</f>
        <v>13</v>
      </c>
      <c r="X100" s="3">
        <f t="shared" ref="X100:X121" si="64">+W100*0.3</f>
        <v>3.9</v>
      </c>
      <c r="Y100" s="4">
        <f t="shared" ref="Y100:Y121" si="65">3.5-1.5</f>
        <v>2</v>
      </c>
      <c r="Z100" s="4">
        <v>5</v>
      </c>
      <c r="AA100" s="4">
        <f t="shared" ref="AA100:AA121" si="66">10-1</f>
        <v>9</v>
      </c>
      <c r="AB100" s="10">
        <f t="shared" ref="AB100:AB114" si="67">+X100+Y100+Z100+AA100</f>
        <v>19.899999999999999</v>
      </c>
    </row>
    <row r="101" spans="2:28" x14ac:dyDescent="0.3">
      <c r="B101" t="str">
        <f t="shared" si="60"/>
        <v>Joe McCardel</v>
      </c>
      <c r="C101" s="5">
        <f t="shared" si="58"/>
        <v>6</v>
      </c>
      <c r="D101" s="5">
        <f t="shared" si="58"/>
        <v>-11</v>
      </c>
      <c r="E101" s="5">
        <f t="shared" si="58"/>
        <v>-4</v>
      </c>
      <c r="F101" s="5">
        <f t="shared" si="58"/>
        <v>-6</v>
      </c>
      <c r="G101" s="5">
        <f t="shared" si="58"/>
        <v>-11</v>
      </c>
      <c r="H101" s="5">
        <f t="shared" si="58"/>
        <v>2</v>
      </c>
      <c r="I101" s="5">
        <f t="shared" si="58"/>
        <v>-1</v>
      </c>
      <c r="J101" s="5">
        <f t="shared" si="58"/>
        <v>-5</v>
      </c>
      <c r="K101" s="5">
        <f t="shared" si="58"/>
        <v>10</v>
      </c>
      <c r="L101" s="12">
        <f t="shared" si="61"/>
        <v>-20</v>
      </c>
      <c r="M101" s="5">
        <f t="shared" si="59"/>
        <v>-5</v>
      </c>
      <c r="N101" s="5">
        <f t="shared" si="59"/>
        <v>-5</v>
      </c>
      <c r="O101" s="5">
        <f t="shared" si="59"/>
        <v>-11</v>
      </c>
      <c r="P101" s="5">
        <f t="shared" si="59"/>
        <v>2</v>
      </c>
      <c r="Q101" s="5">
        <f t="shared" si="59"/>
        <v>-10</v>
      </c>
      <c r="R101" s="5">
        <f t="shared" si="59"/>
        <v>0</v>
      </c>
      <c r="S101" s="5">
        <f t="shared" si="59"/>
        <v>0</v>
      </c>
      <c r="T101" s="5">
        <f t="shared" si="59"/>
        <v>1</v>
      </c>
      <c r="U101" s="5">
        <f t="shared" si="59"/>
        <v>-6</v>
      </c>
      <c r="V101" s="12">
        <f t="shared" si="62"/>
        <v>-34</v>
      </c>
      <c r="W101" s="12">
        <f t="shared" si="63"/>
        <v>-54</v>
      </c>
      <c r="X101" s="3">
        <f t="shared" si="64"/>
        <v>-16.2</v>
      </c>
      <c r="Y101" s="4">
        <f t="shared" si="65"/>
        <v>2</v>
      </c>
      <c r="Z101" s="4">
        <v>5</v>
      </c>
      <c r="AA101" s="4">
        <f t="shared" si="66"/>
        <v>9</v>
      </c>
      <c r="AB101" s="10">
        <f t="shared" si="67"/>
        <v>-0.19999999999999929</v>
      </c>
    </row>
    <row r="102" spans="2:28" x14ac:dyDescent="0.3">
      <c r="B102" t="str">
        <f t="shared" si="60"/>
        <v>Dave Brauer</v>
      </c>
      <c r="C102" s="5">
        <f t="shared" si="58"/>
        <v>6</v>
      </c>
      <c r="D102" s="5">
        <f t="shared" si="58"/>
        <v>4</v>
      </c>
      <c r="E102" s="5">
        <f t="shared" si="58"/>
        <v>-4</v>
      </c>
      <c r="F102" s="5">
        <f t="shared" si="58"/>
        <v>-6</v>
      </c>
      <c r="G102" s="5">
        <f t="shared" si="58"/>
        <v>0</v>
      </c>
      <c r="H102" s="5">
        <f t="shared" si="58"/>
        <v>-5</v>
      </c>
      <c r="I102" s="5">
        <f t="shared" si="58"/>
        <v>9</v>
      </c>
      <c r="J102" s="5">
        <f t="shared" si="58"/>
        <v>-5</v>
      </c>
      <c r="K102" s="5">
        <f t="shared" si="58"/>
        <v>0</v>
      </c>
      <c r="L102" s="12">
        <f t="shared" si="61"/>
        <v>-1</v>
      </c>
      <c r="M102" s="5">
        <f t="shared" si="59"/>
        <v>5</v>
      </c>
      <c r="N102" s="5">
        <f t="shared" si="59"/>
        <v>5</v>
      </c>
      <c r="O102" s="5">
        <f t="shared" si="59"/>
        <v>4</v>
      </c>
      <c r="P102" s="5">
        <f t="shared" si="59"/>
        <v>-10</v>
      </c>
      <c r="Q102" s="5">
        <f t="shared" si="59"/>
        <v>-2</v>
      </c>
      <c r="R102" s="5">
        <f t="shared" si="59"/>
        <v>0</v>
      </c>
      <c r="S102" s="5">
        <f t="shared" si="59"/>
        <v>11</v>
      </c>
      <c r="T102" s="5">
        <f t="shared" si="59"/>
        <v>9</v>
      </c>
      <c r="U102" s="5">
        <f t="shared" si="59"/>
        <v>3</v>
      </c>
      <c r="V102" s="12">
        <f t="shared" si="62"/>
        <v>25</v>
      </c>
      <c r="W102" s="12">
        <f t="shared" si="63"/>
        <v>24</v>
      </c>
      <c r="X102" s="3">
        <f t="shared" si="64"/>
        <v>7.1999999999999993</v>
      </c>
      <c r="Y102" s="4">
        <f t="shared" si="65"/>
        <v>2</v>
      </c>
      <c r="Z102" s="4">
        <v>5</v>
      </c>
      <c r="AA102" s="4">
        <f t="shared" si="66"/>
        <v>9</v>
      </c>
      <c r="AB102" s="10">
        <f>+X102+Y102+Z102+AA102</f>
        <v>23.2</v>
      </c>
    </row>
    <row r="103" spans="2:28" x14ac:dyDescent="0.3">
      <c r="B103" t="str">
        <f t="shared" si="60"/>
        <v>John Sullivan</v>
      </c>
      <c r="C103" s="5">
        <f t="shared" si="58"/>
        <v>6</v>
      </c>
      <c r="D103" s="5">
        <f t="shared" si="58"/>
        <v>10</v>
      </c>
      <c r="E103" s="5">
        <f t="shared" si="58"/>
        <v>5</v>
      </c>
      <c r="F103" s="5">
        <f t="shared" si="58"/>
        <v>10</v>
      </c>
      <c r="G103" s="5">
        <f t="shared" si="58"/>
        <v>9</v>
      </c>
      <c r="H103" s="5">
        <f t="shared" si="58"/>
        <v>-11</v>
      </c>
      <c r="I103" s="5">
        <f t="shared" si="58"/>
        <v>-1</v>
      </c>
      <c r="J103" s="5">
        <f t="shared" si="58"/>
        <v>6</v>
      </c>
      <c r="K103" s="5">
        <f t="shared" si="58"/>
        <v>10</v>
      </c>
      <c r="L103" s="12">
        <f t="shared" si="61"/>
        <v>44</v>
      </c>
      <c r="M103" s="5">
        <f t="shared" si="59"/>
        <v>-5</v>
      </c>
      <c r="N103" s="5">
        <f t="shared" si="59"/>
        <v>11</v>
      </c>
      <c r="O103" s="5">
        <f t="shared" si="59"/>
        <v>4</v>
      </c>
      <c r="P103" s="5">
        <f t="shared" si="59"/>
        <v>2</v>
      </c>
      <c r="Q103" s="5">
        <f t="shared" si="59"/>
        <v>-2</v>
      </c>
      <c r="R103" s="5">
        <f t="shared" si="59"/>
        <v>0</v>
      </c>
      <c r="S103" s="5">
        <f t="shared" si="59"/>
        <v>9</v>
      </c>
      <c r="T103" s="5">
        <f t="shared" si="59"/>
        <v>1</v>
      </c>
      <c r="U103" s="5">
        <f t="shared" si="59"/>
        <v>3</v>
      </c>
      <c r="V103" s="12">
        <f t="shared" si="62"/>
        <v>23</v>
      </c>
      <c r="W103" s="12">
        <f t="shared" si="63"/>
        <v>67</v>
      </c>
      <c r="X103" s="3">
        <f t="shared" si="64"/>
        <v>20.099999999999998</v>
      </c>
      <c r="Y103" s="4">
        <f t="shared" si="65"/>
        <v>2</v>
      </c>
      <c r="Z103" s="4">
        <v>5</v>
      </c>
      <c r="AA103" s="4">
        <f t="shared" si="66"/>
        <v>9</v>
      </c>
      <c r="AB103" s="10">
        <f t="shared" si="67"/>
        <v>36.099999999999994</v>
      </c>
    </row>
    <row r="104" spans="2:28" x14ac:dyDescent="0.3">
      <c r="B104" t="str">
        <f t="shared" si="60"/>
        <v>Ralph</v>
      </c>
      <c r="C104" s="5">
        <f t="shared" si="58"/>
        <v>6</v>
      </c>
      <c r="D104" s="5">
        <f t="shared" si="58"/>
        <v>-2</v>
      </c>
      <c r="E104" s="5">
        <f t="shared" si="58"/>
        <v>-4</v>
      </c>
      <c r="F104" s="5">
        <f t="shared" si="58"/>
        <v>10</v>
      </c>
      <c r="G104" s="5">
        <f t="shared" si="58"/>
        <v>0</v>
      </c>
      <c r="H104" s="5">
        <f t="shared" si="58"/>
        <v>2</v>
      </c>
      <c r="I104" s="5">
        <f t="shared" si="58"/>
        <v>-10</v>
      </c>
      <c r="J104" s="5">
        <f t="shared" si="58"/>
        <v>6</v>
      </c>
      <c r="K104" s="5">
        <f t="shared" si="58"/>
        <v>0</v>
      </c>
      <c r="L104" s="12">
        <f t="shared" si="61"/>
        <v>8</v>
      </c>
      <c r="M104" s="5">
        <f t="shared" si="59"/>
        <v>5</v>
      </c>
      <c r="N104" s="5">
        <f t="shared" si="59"/>
        <v>-11</v>
      </c>
      <c r="O104" s="5">
        <f t="shared" si="59"/>
        <v>-5</v>
      </c>
      <c r="P104" s="5">
        <f t="shared" si="59"/>
        <v>2</v>
      </c>
      <c r="Q104" s="5">
        <f t="shared" si="59"/>
        <v>-2</v>
      </c>
      <c r="R104" s="5">
        <f t="shared" si="59"/>
        <v>-10</v>
      </c>
      <c r="S104" s="5">
        <f t="shared" si="59"/>
        <v>-10</v>
      </c>
      <c r="T104" s="5">
        <f t="shared" si="59"/>
        <v>1</v>
      </c>
      <c r="U104" s="5">
        <f t="shared" si="59"/>
        <v>-9</v>
      </c>
      <c r="V104" s="12">
        <f t="shared" si="62"/>
        <v>-39</v>
      </c>
      <c r="W104" s="12">
        <f t="shared" si="63"/>
        <v>-31</v>
      </c>
      <c r="X104" s="3">
        <f t="shared" si="64"/>
        <v>-9.2999999999999989</v>
      </c>
      <c r="Y104" s="4">
        <f t="shared" si="65"/>
        <v>2</v>
      </c>
      <c r="Z104" s="4">
        <v>5</v>
      </c>
      <c r="AA104" s="4">
        <f t="shared" si="66"/>
        <v>9</v>
      </c>
      <c r="AB104" s="10">
        <f t="shared" si="67"/>
        <v>6.7000000000000011</v>
      </c>
    </row>
    <row r="105" spans="2:28" x14ac:dyDescent="0.3">
      <c r="B105" t="str">
        <f t="shared" si="60"/>
        <v>Leo</v>
      </c>
      <c r="C105" s="5">
        <f t="shared" si="58"/>
        <v>15</v>
      </c>
      <c r="D105" s="5">
        <f t="shared" si="58"/>
        <v>-7</v>
      </c>
      <c r="E105" s="5">
        <f t="shared" si="58"/>
        <v>5</v>
      </c>
      <c r="F105" s="5">
        <f t="shared" si="58"/>
        <v>3</v>
      </c>
      <c r="G105" s="5">
        <f t="shared" si="58"/>
        <v>-9</v>
      </c>
      <c r="H105" s="5">
        <f t="shared" si="58"/>
        <v>11</v>
      </c>
      <c r="I105" s="5">
        <f t="shared" si="58"/>
        <v>-10</v>
      </c>
      <c r="J105" s="5">
        <f t="shared" si="58"/>
        <v>-5</v>
      </c>
      <c r="K105" s="5">
        <f t="shared" si="58"/>
        <v>0</v>
      </c>
      <c r="L105" s="12">
        <f t="shared" si="61"/>
        <v>3</v>
      </c>
      <c r="M105" s="5">
        <f t="shared" si="59"/>
        <v>-5</v>
      </c>
      <c r="N105" s="5">
        <f t="shared" si="59"/>
        <v>5</v>
      </c>
      <c r="O105" s="5">
        <f t="shared" si="59"/>
        <v>-5</v>
      </c>
      <c r="P105" s="5">
        <f t="shared" si="59"/>
        <v>2</v>
      </c>
      <c r="Q105" s="5">
        <f t="shared" si="59"/>
        <v>-2</v>
      </c>
      <c r="R105" s="5">
        <f t="shared" si="59"/>
        <v>8</v>
      </c>
      <c r="S105" s="5">
        <f t="shared" si="59"/>
        <v>0</v>
      </c>
      <c r="T105" s="5">
        <f t="shared" si="59"/>
        <v>-7</v>
      </c>
      <c r="U105" s="5">
        <f t="shared" si="59"/>
        <v>11</v>
      </c>
      <c r="V105" s="12">
        <f t="shared" si="62"/>
        <v>7</v>
      </c>
      <c r="W105" s="12">
        <f t="shared" si="63"/>
        <v>10</v>
      </c>
      <c r="X105" s="3">
        <f t="shared" si="64"/>
        <v>3</v>
      </c>
      <c r="Y105" s="4">
        <f t="shared" si="65"/>
        <v>2</v>
      </c>
      <c r="Z105" s="4">
        <v>5</v>
      </c>
      <c r="AA105" s="4">
        <f t="shared" si="66"/>
        <v>9</v>
      </c>
      <c r="AB105" s="10">
        <f t="shared" si="67"/>
        <v>19</v>
      </c>
    </row>
    <row r="106" spans="2:28" x14ac:dyDescent="0.3">
      <c r="B106" t="str">
        <f t="shared" si="60"/>
        <v>Matt Lawrence</v>
      </c>
      <c r="C106" s="5">
        <f t="shared" si="58"/>
        <v>4</v>
      </c>
      <c r="D106" s="5">
        <f t="shared" si="58"/>
        <v>4</v>
      </c>
      <c r="E106" s="5">
        <f t="shared" si="58"/>
        <v>5</v>
      </c>
      <c r="F106" s="5">
        <f t="shared" si="58"/>
        <v>3</v>
      </c>
      <c r="G106" s="5">
        <f t="shared" si="58"/>
        <v>-7</v>
      </c>
      <c r="H106" s="5">
        <f t="shared" si="58"/>
        <v>-5</v>
      </c>
      <c r="I106" s="5">
        <f t="shared" si="58"/>
        <v>9</v>
      </c>
      <c r="J106" s="5">
        <f t="shared" si="58"/>
        <v>-5</v>
      </c>
      <c r="K106" s="5">
        <f t="shared" si="58"/>
        <v>0</v>
      </c>
      <c r="L106" s="12">
        <f t="shared" si="61"/>
        <v>8</v>
      </c>
      <c r="M106" s="5">
        <f t="shared" si="59"/>
        <v>5</v>
      </c>
      <c r="N106" s="5">
        <f t="shared" si="59"/>
        <v>5</v>
      </c>
      <c r="O106" s="5">
        <f t="shared" si="59"/>
        <v>4</v>
      </c>
      <c r="P106" s="5">
        <f t="shared" si="59"/>
        <v>2</v>
      </c>
      <c r="Q106" s="5">
        <f t="shared" si="59"/>
        <v>-10</v>
      </c>
      <c r="R106" s="5">
        <f t="shared" si="59"/>
        <v>8</v>
      </c>
      <c r="S106" s="5">
        <f t="shared" si="59"/>
        <v>0</v>
      </c>
      <c r="T106" s="5">
        <f t="shared" si="59"/>
        <v>1</v>
      </c>
      <c r="U106" s="5">
        <f t="shared" si="59"/>
        <v>3</v>
      </c>
      <c r="V106" s="12">
        <f t="shared" si="62"/>
        <v>18</v>
      </c>
      <c r="W106" s="12">
        <f t="shared" si="63"/>
        <v>26</v>
      </c>
      <c r="X106" s="3">
        <f t="shared" si="64"/>
        <v>7.8</v>
      </c>
      <c r="Y106" s="4">
        <f t="shared" si="65"/>
        <v>2</v>
      </c>
      <c r="Z106" s="4">
        <v>5</v>
      </c>
      <c r="AA106" s="4">
        <f t="shared" si="66"/>
        <v>9</v>
      </c>
      <c r="AB106" s="10">
        <f t="shared" si="67"/>
        <v>23.8</v>
      </c>
    </row>
    <row r="107" spans="2:28" x14ac:dyDescent="0.3">
      <c r="B107" t="str">
        <f t="shared" si="60"/>
        <v>Jerry Flynn</v>
      </c>
      <c r="C107" s="5">
        <f t="shared" si="58"/>
        <v>6</v>
      </c>
      <c r="D107" s="5">
        <f t="shared" si="58"/>
        <v>-2</v>
      </c>
      <c r="E107" s="5">
        <f t="shared" si="58"/>
        <v>-10</v>
      </c>
      <c r="F107" s="5">
        <f t="shared" si="58"/>
        <v>3</v>
      </c>
      <c r="G107" s="5">
        <f t="shared" si="58"/>
        <v>0</v>
      </c>
      <c r="H107" s="5">
        <f t="shared" si="58"/>
        <v>2</v>
      </c>
      <c r="I107" s="5">
        <f t="shared" si="58"/>
        <v>-1</v>
      </c>
      <c r="J107" s="5">
        <f t="shared" si="58"/>
        <v>6</v>
      </c>
      <c r="K107" s="5">
        <f t="shared" si="58"/>
        <v>-10</v>
      </c>
      <c r="L107" s="12">
        <f t="shared" si="61"/>
        <v>-6</v>
      </c>
      <c r="M107" s="5">
        <f t="shared" si="59"/>
        <v>-11</v>
      </c>
      <c r="N107" s="5">
        <f t="shared" si="59"/>
        <v>-5</v>
      </c>
      <c r="O107" s="5">
        <f t="shared" si="59"/>
        <v>-5</v>
      </c>
      <c r="P107" s="5">
        <f t="shared" si="59"/>
        <v>2</v>
      </c>
      <c r="Q107" s="5">
        <f t="shared" si="59"/>
        <v>-2</v>
      </c>
      <c r="R107" s="5">
        <f t="shared" si="59"/>
        <v>8</v>
      </c>
      <c r="S107" s="5">
        <f t="shared" si="59"/>
        <v>0</v>
      </c>
      <c r="T107" s="5">
        <f t="shared" si="59"/>
        <v>-7</v>
      </c>
      <c r="U107" s="5">
        <f t="shared" si="59"/>
        <v>3</v>
      </c>
      <c r="V107" s="12">
        <f t="shared" si="62"/>
        <v>-17</v>
      </c>
      <c r="W107" s="12">
        <f t="shared" si="63"/>
        <v>-23</v>
      </c>
      <c r="X107" s="3">
        <f t="shared" si="64"/>
        <v>-6.8999999999999995</v>
      </c>
      <c r="Y107" s="4">
        <f t="shared" si="65"/>
        <v>2</v>
      </c>
      <c r="Z107" s="4">
        <v>5</v>
      </c>
      <c r="AA107" s="4">
        <f t="shared" si="66"/>
        <v>9</v>
      </c>
      <c r="AB107" s="10">
        <f t="shared" si="67"/>
        <v>9.1000000000000014</v>
      </c>
    </row>
    <row r="108" spans="2:28" x14ac:dyDescent="0.3">
      <c r="B108" t="str">
        <f t="shared" si="60"/>
        <v>Mike Flynn</v>
      </c>
      <c r="C108" s="5">
        <f t="shared" si="58"/>
        <v>-4</v>
      </c>
      <c r="D108" s="5">
        <f t="shared" si="58"/>
        <v>4</v>
      </c>
      <c r="E108" s="5">
        <f t="shared" si="58"/>
        <v>5</v>
      </c>
      <c r="F108" s="5">
        <f t="shared" si="58"/>
        <v>3</v>
      </c>
      <c r="G108" s="5">
        <f t="shared" si="58"/>
        <v>0</v>
      </c>
      <c r="H108" s="5">
        <f t="shared" si="58"/>
        <v>8</v>
      </c>
      <c r="I108" s="5">
        <f t="shared" si="58"/>
        <v>-1</v>
      </c>
      <c r="J108" s="5">
        <f t="shared" si="58"/>
        <v>-5</v>
      </c>
      <c r="K108" s="5">
        <f t="shared" si="58"/>
        <v>0</v>
      </c>
      <c r="L108" s="12">
        <f t="shared" si="61"/>
        <v>10</v>
      </c>
      <c r="M108" s="5">
        <f t="shared" si="59"/>
        <v>-5</v>
      </c>
      <c r="N108" s="5">
        <f t="shared" si="59"/>
        <v>-5</v>
      </c>
      <c r="O108" s="5">
        <f t="shared" si="59"/>
        <v>4</v>
      </c>
      <c r="P108" s="5">
        <f t="shared" si="59"/>
        <v>2</v>
      </c>
      <c r="Q108" s="5">
        <f t="shared" si="59"/>
        <v>8</v>
      </c>
      <c r="R108" s="5">
        <f t="shared" si="59"/>
        <v>4</v>
      </c>
      <c r="S108" s="5">
        <f t="shared" si="59"/>
        <v>0</v>
      </c>
      <c r="T108" s="5">
        <f t="shared" si="59"/>
        <v>-7</v>
      </c>
      <c r="U108" s="5">
        <f t="shared" si="59"/>
        <v>3</v>
      </c>
      <c r="V108" s="12">
        <f t="shared" si="62"/>
        <v>4</v>
      </c>
      <c r="W108" s="12">
        <f t="shared" si="63"/>
        <v>14</v>
      </c>
      <c r="X108" s="3">
        <f t="shared" si="64"/>
        <v>4.2</v>
      </c>
      <c r="Y108" s="4">
        <f t="shared" si="65"/>
        <v>2</v>
      </c>
      <c r="Z108" s="4">
        <v>5</v>
      </c>
      <c r="AA108" s="4">
        <f t="shared" si="66"/>
        <v>9</v>
      </c>
      <c r="AB108" s="10">
        <f t="shared" si="67"/>
        <v>20.2</v>
      </c>
    </row>
    <row r="109" spans="2:28" x14ac:dyDescent="0.3">
      <c r="B109" t="str">
        <f t="shared" si="60"/>
        <v>Sean Flynn</v>
      </c>
      <c r="C109" s="5">
        <f t="shared" si="58"/>
        <v>-15</v>
      </c>
      <c r="D109" s="5">
        <f t="shared" si="58"/>
        <v>-7</v>
      </c>
      <c r="E109" s="5">
        <f t="shared" si="58"/>
        <v>-4</v>
      </c>
      <c r="F109" s="5">
        <f t="shared" si="58"/>
        <v>-6</v>
      </c>
      <c r="G109" s="5">
        <f t="shared" si="58"/>
        <v>0</v>
      </c>
      <c r="H109" s="5">
        <f t="shared" si="58"/>
        <v>-5</v>
      </c>
      <c r="I109" s="5">
        <f t="shared" si="58"/>
        <v>-1</v>
      </c>
      <c r="J109" s="5">
        <f t="shared" si="58"/>
        <v>6</v>
      </c>
      <c r="K109" s="5">
        <f t="shared" si="58"/>
        <v>0</v>
      </c>
      <c r="L109" s="12">
        <f t="shared" si="61"/>
        <v>-32</v>
      </c>
      <c r="M109" s="5">
        <f t="shared" si="59"/>
        <v>5</v>
      </c>
      <c r="N109" s="5">
        <f t="shared" si="59"/>
        <v>5</v>
      </c>
      <c r="O109" s="5">
        <f t="shared" si="59"/>
        <v>10</v>
      </c>
      <c r="P109" s="5">
        <f t="shared" si="59"/>
        <v>2</v>
      </c>
      <c r="Q109" s="5">
        <f t="shared" si="59"/>
        <v>8</v>
      </c>
      <c r="R109" s="5">
        <f t="shared" si="59"/>
        <v>-10</v>
      </c>
      <c r="S109" s="5">
        <f t="shared" si="59"/>
        <v>0</v>
      </c>
      <c r="T109" s="5">
        <f t="shared" si="59"/>
        <v>9</v>
      </c>
      <c r="U109" s="5">
        <f t="shared" si="59"/>
        <v>-11</v>
      </c>
      <c r="V109" s="12">
        <f t="shared" si="62"/>
        <v>18</v>
      </c>
      <c r="W109" s="12">
        <f t="shared" si="63"/>
        <v>-14</v>
      </c>
      <c r="X109" s="3">
        <f t="shared" si="64"/>
        <v>-4.2</v>
      </c>
      <c r="Y109" s="4">
        <f t="shared" si="65"/>
        <v>2</v>
      </c>
      <c r="Z109" s="4">
        <v>5</v>
      </c>
      <c r="AA109" s="4">
        <f t="shared" si="66"/>
        <v>9</v>
      </c>
      <c r="AB109" s="10">
        <f t="shared" si="67"/>
        <v>11.8</v>
      </c>
    </row>
    <row r="110" spans="2:28" x14ac:dyDescent="0.3">
      <c r="B110" t="str">
        <f t="shared" si="60"/>
        <v>Kevin Fitzgerald</v>
      </c>
      <c r="C110" s="5">
        <f t="shared" si="58"/>
        <v>-4</v>
      </c>
      <c r="D110" s="5">
        <f t="shared" si="58"/>
        <v>-7</v>
      </c>
      <c r="E110" s="5">
        <f t="shared" si="58"/>
        <v>11</v>
      </c>
      <c r="F110" s="5">
        <f t="shared" si="58"/>
        <v>3</v>
      </c>
      <c r="G110" s="5">
        <f t="shared" si="58"/>
        <v>0</v>
      </c>
      <c r="H110" s="5">
        <f t="shared" si="58"/>
        <v>8</v>
      </c>
      <c r="I110" s="5">
        <f t="shared" si="58"/>
        <v>9</v>
      </c>
      <c r="J110" s="5">
        <f t="shared" si="58"/>
        <v>-11</v>
      </c>
      <c r="K110" s="5">
        <f t="shared" si="58"/>
        <v>0</v>
      </c>
      <c r="L110" s="12">
        <f t="shared" si="61"/>
        <v>9</v>
      </c>
      <c r="M110" s="5">
        <f t="shared" si="59"/>
        <v>-5</v>
      </c>
      <c r="N110" s="5">
        <f t="shared" si="59"/>
        <v>-5</v>
      </c>
      <c r="O110" s="5">
        <f t="shared" si="59"/>
        <v>-5</v>
      </c>
      <c r="P110" s="5">
        <f t="shared" si="59"/>
        <v>-10</v>
      </c>
      <c r="Q110" s="5">
        <f t="shared" si="59"/>
        <v>-2</v>
      </c>
      <c r="R110" s="5">
        <f t="shared" si="59"/>
        <v>-9</v>
      </c>
      <c r="S110" s="5">
        <f t="shared" si="59"/>
        <v>0</v>
      </c>
      <c r="T110" s="5">
        <f t="shared" si="59"/>
        <v>-11</v>
      </c>
      <c r="U110" s="5">
        <f t="shared" si="59"/>
        <v>3</v>
      </c>
      <c r="V110" s="12">
        <f t="shared" si="62"/>
        <v>-44</v>
      </c>
      <c r="W110" s="12">
        <f t="shared" si="63"/>
        <v>-35</v>
      </c>
      <c r="X110" s="3">
        <f t="shared" si="64"/>
        <v>-10.5</v>
      </c>
      <c r="Y110" s="4">
        <f t="shared" si="65"/>
        <v>2</v>
      </c>
      <c r="Z110" s="4">
        <v>5</v>
      </c>
      <c r="AA110" s="4">
        <f t="shared" si="66"/>
        <v>9</v>
      </c>
      <c r="AB110" s="10">
        <f t="shared" si="67"/>
        <v>5.5</v>
      </c>
    </row>
    <row r="111" spans="2:28" x14ac:dyDescent="0.3">
      <c r="B111" t="str">
        <f t="shared" si="60"/>
        <v>Richard McGovern</v>
      </c>
      <c r="C111" s="5">
        <f t="shared" si="58"/>
        <v>1</v>
      </c>
      <c r="D111" s="5">
        <f t="shared" si="58"/>
        <v>14</v>
      </c>
      <c r="E111" s="5">
        <f t="shared" si="58"/>
        <v>9</v>
      </c>
      <c r="F111" s="5">
        <f t="shared" si="58"/>
        <v>2</v>
      </c>
      <c r="G111" s="5">
        <f t="shared" si="58"/>
        <v>2</v>
      </c>
      <c r="H111" s="5">
        <f t="shared" si="58"/>
        <v>0</v>
      </c>
      <c r="I111" s="5">
        <f t="shared" si="58"/>
        <v>0</v>
      </c>
      <c r="J111" s="5">
        <f t="shared" si="58"/>
        <v>0</v>
      </c>
      <c r="K111" s="5">
        <f t="shared" si="58"/>
        <v>0</v>
      </c>
      <c r="L111" s="12">
        <f t="shared" si="61"/>
        <v>28</v>
      </c>
      <c r="M111" s="5">
        <f t="shared" si="59"/>
        <v>0</v>
      </c>
      <c r="N111" s="5">
        <f t="shared" si="59"/>
        <v>0</v>
      </c>
      <c r="O111" s="5">
        <f t="shared" si="59"/>
        <v>0</v>
      </c>
      <c r="P111" s="5">
        <f t="shared" si="59"/>
        <v>0</v>
      </c>
      <c r="Q111" s="5">
        <f t="shared" si="59"/>
        <v>0</v>
      </c>
      <c r="R111" s="5">
        <f t="shared" si="59"/>
        <v>0</v>
      </c>
      <c r="S111" s="5">
        <f t="shared" si="59"/>
        <v>0</v>
      </c>
      <c r="T111" s="5">
        <f t="shared" si="59"/>
        <v>0</v>
      </c>
      <c r="U111" s="5">
        <f t="shared" si="59"/>
        <v>0</v>
      </c>
      <c r="V111" s="12">
        <f t="shared" si="62"/>
        <v>0</v>
      </c>
      <c r="W111" s="12">
        <f t="shared" si="63"/>
        <v>28</v>
      </c>
      <c r="X111" s="3">
        <f t="shared" si="64"/>
        <v>8.4</v>
      </c>
      <c r="Y111" s="4">
        <f t="shared" si="65"/>
        <v>2</v>
      </c>
      <c r="Z111" s="4">
        <v>5</v>
      </c>
      <c r="AA111" s="4">
        <f t="shared" si="66"/>
        <v>9</v>
      </c>
      <c r="AB111" s="10">
        <f t="shared" si="67"/>
        <v>24.4</v>
      </c>
    </row>
    <row r="112" spans="2:28" x14ac:dyDescent="0.3">
      <c r="B112" t="str">
        <f t="shared" si="60"/>
        <v>Mike Fitzgerald</v>
      </c>
      <c r="C112" s="5">
        <f t="shared" si="58"/>
        <v>1</v>
      </c>
      <c r="D112" s="5">
        <f t="shared" si="58"/>
        <v>15</v>
      </c>
      <c r="E112" s="5">
        <f t="shared" si="58"/>
        <v>0</v>
      </c>
      <c r="F112" s="5">
        <f t="shared" si="58"/>
        <v>2</v>
      </c>
      <c r="G112" s="5">
        <f t="shared" si="58"/>
        <v>2</v>
      </c>
      <c r="H112" s="5">
        <f t="shared" si="58"/>
        <v>0</v>
      </c>
      <c r="I112" s="5">
        <f t="shared" si="58"/>
        <v>0</v>
      </c>
      <c r="J112" s="5">
        <f t="shared" si="58"/>
        <v>0</v>
      </c>
      <c r="K112" s="5">
        <f t="shared" si="58"/>
        <v>0</v>
      </c>
      <c r="L112" s="12">
        <f t="shared" si="61"/>
        <v>20</v>
      </c>
      <c r="M112" s="5">
        <f t="shared" si="59"/>
        <v>0</v>
      </c>
      <c r="N112" s="5">
        <f t="shared" si="59"/>
        <v>0</v>
      </c>
      <c r="O112" s="5">
        <f t="shared" si="59"/>
        <v>0</v>
      </c>
      <c r="P112" s="5">
        <f t="shared" si="59"/>
        <v>0</v>
      </c>
      <c r="Q112" s="5">
        <f t="shared" si="59"/>
        <v>0</v>
      </c>
      <c r="R112" s="5">
        <f t="shared" si="59"/>
        <v>0</v>
      </c>
      <c r="S112" s="5">
        <f t="shared" si="59"/>
        <v>0</v>
      </c>
      <c r="T112" s="5">
        <f t="shared" si="59"/>
        <v>0</v>
      </c>
      <c r="U112" s="5">
        <f t="shared" si="59"/>
        <v>0</v>
      </c>
      <c r="V112" s="12">
        <f t="shared" si="62"/>
        <v>0</v>
      </c>
      <c r="W112" s="12">
        <f t="shared" si="63"/>
        <v>20</v>
      </c>
      <c r="X112" s="3">
        <f t="shared" si="64"/>
        <v>6</v>
      </c>
      <c r="Y112" s="4">
        <f t="shared" si="65"/>
        <v>2</v>
      </c>
      <c r="Z112" s="4">
        <v>5</v>
      </c>
      <c r="AA112" s="4">
        <f t="shared" si="66"/>
        <v>9</v>
      </c>
      <c r="AB112" s="10">
        <f t="shared" si="67"/>
        <v>22</v>
      </c>
    </row>
    <row r="113" spans="2:28" x14ac:dyDescent="0.3">
      <c r="B113" t="str">
        <f t="shared" si="60"/>
        <v>Matt Brauer</v>
      </c>
      <c r="C113" s="5">
        <f t="shared" si="58"/>
        <v>1</v>
      </c>
      <c r="D113" s="5">
        <f t="shared" si="58"/>
        <v>1</v>
      </c>
      <c r="E113" s="5">
        <f t="shared" si="58"/>
        <v>3</v>
      </c>
      <c r="F113" s="5">
        <f t="shared" si="58"/>
        <v>2</v>
      </c>
      <c r="G113" s="5">
        <f t="shared" si="58"/>
        <v>0</v>
      </c>
      <c r="H113" s="5">
        <f t="shared" si="58"/>
        <v>0</v>
      </c>
      <c r="I113" s="5">
        <f t="shared" si="58"/>
        <v>0</v>
      </c>
      <c r="J113" s="5">
        <f t="shared" si="58"/>
        <v>0</v>
      </c>
      <c r="K113" s="5">
        <f t="shared" si="58"/>
        <v>0</v>
      </c>
      <c r="L113" s="12">
        <f t="shared" si="61"/>
        <v>7</v>
      </c>
      <c r="M113" s="5">
        <f t="shared" si="59"/>
        <v>0</v>
      </c>
      <c r="N113" s="5">
        <f t="shared" si="59"/>
        <v>0</v>
      </c>
      <c r="O113" s="5">
        <f t="shared" si="59"/>
        <v>0</v>
      </c>
      <c r="P113" s="5">
        <f t="shared" si="59"/>
        <v>0</v>
      </c>
      <c r="Q113" s="5">
        <f t="shared" si="59"/>
        <v>0</v>
      </c>
      <c r="R113" s="5">
        <f t="shared" si="59"/>
        <v>0</v>
      </c>
      <c r="S113" s="5">
        <f t="shared" si="59"/>
        <v>0</v>
      </c>
      <c r="T113" s="5">
        <f t="shared" si="59"/>
        <v>0</v>
      </c>
      <c r="U113" s="5">
        <f t="shared" si="59"/>
        <v>0</v>
      </c>
      <c r="V113" s="12">
        <f t="shared" si="62"/>
        <v>0</v>
      </c>
      <c r="W113" s="12">
        <f t="shared" si="63"/>
        <v>7</v>
      </c>
      <c r="X113" s="3">
        <f t="shared" si="64"/>
        <v>2.1</v>
      </c>
      <c r="Y113" s="4">
        <f t="shared" si="65"/>
        <v>2</v>
      </c>
      <c r="Z113" s="4">
        <v>5</v>
      </c>
      <c r="AA113" s="4">
        <f t="shared" si="66"/>
        <v>9</v>
      </c>
      <c r="AB113" s="10">
        <f t="shared" si="67"/>
        <v>18.100000000000001</v>
      </c>
    </row>
    <row r="114" spans="2:28" x14ac:dyDescent="0.3">
      <c r="B114" t="str">
        <f t="shared" si="60"/>
        <v>Blake Dougan</v>
      </c>
      <c r="C114" s="5">
        <f t="shared" si="58"/>
        <v>0</v>
      </c>
      <c r="D114" s="5">
        <f t="shared" si="58"/>
        <v>0</v>
      </c>
      <c r="E114" s="5">
        <f t="shared" si="58"/>
        <v>0</v>
      </c>
      <c r="F114" s="5">
        <f t="shared" si="58"/>
        <v>0</v>
      </c>
      <c r="G114" s="5">
        <f t="shared" si="58"/>
        <v>0</v>
      </c>
      <c r="H114" s="5">
        <f t="shared" si="58"/>
        <v>0</v>
      </c>
      <c r="I114" s="5">
        <f t="shared" si="58"/>
        <v>0</v>
      </c>
      <c r="J114" s="5">
        <f t="shared" si="58"/>
        <v>0</v>
      </c>
      <c r="K114" s="5">
        <f t="shared" si="58"/>
        <v>0</v>
      </c>
      <c r="L114" s="12">
        <f t="shared" si="61"/>
        <v>0</v>
      </c>
      <c r="M114" s="5">
        <f t="shared" si="59"/>
        <v>0</v>
      </c>
      <c r="N114" s="5">
        <f t="shared" si="59"/>
        <v>0</v>
      </c>
      <c r="O114" s="5">
        <f t="shared" si="59"/>
        <v>0</v>
      </c>
      <c r="P114" s="5">
        <f t="shared" si="59"/>
        <v>0</v>
      </c>
      <c r="Q114" s="5">
        <f t="shared" si="59"/>
        <v>0</v>
      </c>
      <c r="R114" s="5">
        <f t="shared" si="59"/>
        <v>0</v>
      </c>
      <c r="S114" s="5">
        <f t="shared" si="59"/>
        <v>0</v>
      </c>
      <c r="T114" s="5">
        <f t="shared" si="59"/>
        <v>0</v>
      </c>
      <c r="U114" s="5">
        <f t="shared" si="59"/>
        <v>0</v>
      </c>
      <c r="V114" s="12">
        <f t="shared" si="62"/>
        <v>0</v>
      </c>
      <c r="W114" s="12">
        <f t="shared" si="63"/>
        <v>0</v>
      </c>
      <c r="X114" s="3">
        <f t="shared" si="64"/>
        <v>0</v>
      </c>
      <c r="Y114" s="4">
        <f t="shared" si="65"/>
        <v>2</v>
      </c>
      <c r="Z114" s="4">
        <v>5</v>
      </c>
      <c r="AA114" s="4">
        <f t="shared" si="66"/>
        <v>9</v>
      </c>
      <c r="AB114" s="10">
        <f t="shared" si="67"/>
        <v>16</v>
      </c>
    </row>
    <row r="115" spans="2:28" x14ac:dyDescent="0.3">
      <c r="B115" t="str">
        <f t="shared" si="60"/>
        <v>Mike Dougan</v>
      </c>
      <c r="C115" s="5">
        <f t="shared" ref="C115:K120" si="68">+C67+C91</f>
        <v>0</v>
      </c>
      <c r="D115" s="5">
        <f t="shared" si="68"/>
        <v>0</v>
      </c>
      <c r="E115" s="5">
        <f t="shared" si="68"/>
        <v>0</v>
      </c>
      <c r="F115" s="5">
        <f t="shared" si="68"/>
        <v>0</v>
      </c>
      <c r="G115" s="5">
        <f t="shared" si="68"/>
        <v>0</v>
      </c>
      <c r="H115" s="5">
        <f t="shared" si="68"/>
        <v>0</v>
      </c>
      <c r="I115" s="5">
        <f t="shared" si="68"/>
        <v>0</v>
      </c>
      <c r="J115" s="5">
        <f t="shared" si="68"/>
        <v>0</v>
      </c>
      <c r="K115" s="5">
        <f t="shared" si="68"/>
        <v>0</v>
      </c>
      <c r="L115" s="12">
        <f t="shared" si="61"/>
        <v>0</v>
      </c>
      <c r="M115" s="5">
        <f t="shared" ref="M115:U120" si="69">+M67+M91</f>
        <v>0</v>
      </c>
      <c r="N115" s="5">
        <f t="shared" si="69"/>
        <v>0</v>
      </c>
      <c r="O115" s="5">
        <f t="shared" si="69"/>
        <v>0</v>
      </c>
      <c r="P115" s="5">
        <f t="shared" si="69"/>
        <v>0</v>
      </c>
      <c r="Q115" s="5">
        <f t="shared" si="69"/>
        <v>0</v>
      </c>
      <c r="R115" s="5">
        <f t="shared" si="69"/>
        <v>0</v>
      </c>
      <c r="S115" s="5">
        <f t="shared" si="69"/>
        <v>0</v>
      </c>
      <c r="T115" s="5">
        <f t="shared" si="69"/>
        <v>0</v>
      </c>
      <c r="U115" s="5">
        <f t="shared" si="69"/>
        <v>0</v>
      </c>
      <c r="V115" s="12">
        <f t="shared" si="62"/>
        <v>0</v>
      </c>
      <c r="W115" s="12">
        <f t="shared" si="63"/>
        <v>0</v>
      </c>
      <c r="X115" s="3">
        <f t="shared" si="64"/>
        <v>0</v>
      </c>
      <c r="Y115" s="4">
        <f t="shared" si="65"/>
        <v>2</v>
      </c>
      <c r="Z115" s="4">
        <v>5</v>
      </c>
      <c r="AA115" s="4">
        <f t="shared" si="66"/>
        <v>9</v>
      </c>
      <c r="AB115" s="9">
        <f>SUM(AB99:AB114)</f>
        <v>283</v>
      </c>
    </row>
    <row r="116" spans="2:28" x14ac:dyDescent="0.3">
      <c r="B116" t="str">
        <f t="shared" si="60"/>
        <v>TJ Williams</v>
      </c>
      <c r="C116" s="5">
        <f t="shared" si="68"/>
        <v>0</v>
      </c>
      <c r="D116" s="5">
        <f t="shared" si="68"/>
        <v>0</v>
      </c>
      <c r="E116" s="5">
        <f t="shared" si="68"/>
        <v>0</v>
      </c>
      <c r="F116" s="5">
        <f t="shared" si="68"/>
        <v>0</v>
      </c>
      <c r="G116" s="5">
        <f t="shared" si="68"/>
        <v>0</v>
      </c>
      <c r="H116" s="5">
        <f t="shared" si="68"/>
        <v>0</v>
      </c>
      <c r="I116" s="5">
        <f t="shared" si="68"/>
        <v>0</v>
      </c>
      <c r="J116" s="5">
        <f t="shared" si="68"/>
        <v>0</v>
      </c>
      <c r="K116" s="5">
        <f t="shared" si="68"/>
        <v>0</v>
      </c>
      <c r="L116" s="12">
        <f t="shared" si="61"/>
        <v>0</v>
      </c>
      <c r="M116" s="5">
        <f t="shared" si="69"/>
        <v>0</v>
      </c>
      <c r="N116" s="5">
        <f t="shared" si="69"/>
        <v>0</v>
      </c>
      <c r="O116" s="5">
        <f t="shared" si="69"/>
        <v>0</v>
      </c>
      <c r="P116" s="5">
        <f t="shared" si="69"/>
        <v>0</v>
      </c>
      <c r="Q116" s="5">
        <f t="shared" si="69"/>
        <v>0</v>
      </c>
      <c r="R116" s="5">
        <f t="shared" si="69"/>
        <v>0</v>
      </c>
      <c r="S116" s="5">
        <f t="shared" si="69"/>
        <v>0</v>
      </c>
      <c r="T116" s="5">
        <f t="shared" si="69"/>
        <v>0</v>
      </c>
      <c r="U116" s="5">
        <f t="shared" si="69"/>
        <v>0</v>
      </c>
      <c r="V116" s="12">
        <f t="shared" si="62"/>
        <v>0</v>
      </c>
      <c r="W116" s="12">
        <f t="shared" si="63"/>
        <v>0</v>
      </c>
      <c r="X116" s="3">
        <f t="shared" si="64"/>
        <v>0</v>
      </c>
      <c r="Y116" s="4">
        <f t="shared" si="65"/>
        <v>2</v>
      </c>
      <c r="Z116" s="4">
        <v>5</v>
      </c>
      <c r="AA116" s="4">
        <f t="shared" si="66"/>
        <v>9</v>
      </c>
    </row>
    <row r="117" spans="2:28" x14ac:dyDescent="0.3">
      <c r="B117" t="str">
        <f t="shared" si="60"/>
        <v>Brian McGovern</v>
      </c>
      <c r="C117" s="5">
        <f t="shared" si="68"/>
        <v>-12</v>
      </c>
      <c r="D117" s="5">
        <f t="shared" si="68"/>
        <v>0</v>
      </c>
      <c r="E117" s="5">
        <f t="shared" si="68"/>
        <v>0</v>
      </c>
      <c r="F117" s="5">
        <f t="shared" si="68"/>
        <v>0</v>
      </c>
      <c r="G117" s="5">
        <f t="shared" si="68"/>
        <v>0</v>
      </c>
      <c r="H117" s="5">
        <f t="shared" si="68"/>
        <v>0</v>
      </c>
      <c r="I117" s="5">
        <f t="shared" si="68"/>
        <v>0</v>
      </c>
      <c r="J117" s="5">
        <f t="shared" si="68"/>
        <v>0</v>
      </c>
      <c r="K117" s="5">
        <f t="shared" si="68"/>
        <v>0</v>
      </c>
      <c r="L117" s="12">
        <f t="shared" si="61"/>
        <v>-12</v>
      </c>
      <c r="M117" s="5">
        <f t="shared" si="69"/>
        <v>0</v>
      </c>
      <c r="N117" s="5">
        <f t="shared" si="69"/>
        <v>0</v>
      </c>
      <c r="O117" s="5">
        <f t="shared" si="69"/>
        <v>0</v>
      </c>
      <c r="P117" s="5">
        <f t="shared" si="69"/>
        <v>0</v>
      </c>
      <c r="Q117" s="5">
        <f t="shared" si="69"/>
        <v>0</v>
      </c>
      <c r="R117" s="5">
        <f t="shared" si="69"/>
        <v>0</v>
      </c>
      <c r="S117" s="5">
        <f t="shared" si="69"/>
        <v>0</v>
      </c>
      <c r="T117" s="5">
        <f t="shared" si="69"/>
        <v>0</v>
      </c>
      <c r="U117" s="5">
        <f t="shared" si="69"/>
        <v>0</v>
      </c>
      <c r="V117" s="12">
        <f t="shared" si="62"/>
        <v>0</v>
      </c>
      <c r="W117" s="12">
        <f t="shared" si="63"/>
        <v>-12</v>
      </c>
      <c r="X117" s="3">
        <f t="shared" si="64"/>
        <v>-3.5999999999999996</v>
      </c>
      <c r="Y117" s="4">
        <f t="shared" si="65"/>
        <v>2</v>
      </c>
      <c r="Z117" s="4">
        <v>5</v>
      </c>
      <c r="AA117" s="4">
        <f t="shared" si="66"/>
        <v>9</v>
      </c>
    </row>
    <row r="118" spans="2:28" x14ac:dyDescent="0.3">
      <c r="B118" t="str">
        <f t="shared" si="60"/>
        <v>Dave Keyser</v>
      </c>
      <c r="C118" s="5">
        <f t="shared" si="68"/>
        <v>-8</v>
      </c>
      <c r="D118" s="5">
        <f t="shared" si="68"/>
        <v>6</v>
      </c>
      <c r="E118" s="5">
        <f t="shared" si="68"/>
        <v>14</v>
      </c>
      <c r="F118" s="5">
        <f t="shared" si="68"/>
        <v>0</v>
      </c>
      <c r="G118" s="5">
        <f t="shared" si="68"/>
        <v>0</v>
      </c>
      <c r="H118" s="5">
        <f t="shared" si="68"/>
        <v>0</v>
      </c>
      <c r="I118" s="5">
        <f t="shared" si="68"/>
        <v>0</v>
      </c>
      <c r="J118" s="5">
        <f t="shared" si="68"/>
        <v>0</v>
      </c>
      <c r="K118" s="5">
        <f t="shared" si="68"/>
        <v>0</v>
      </c>
      <c r="L118" s="12">
        <f t="shared" si="61"/>
        <v>12</v>
      </c>
      <c r="M118" s="5">
        <f t="shared" si="69"/>
        <v>0</v>
      </c>
      <c r="N118" s="5">
        <f t="shared" si="69"/>
        <v>0</v>
      </c>
      <c r="O118" s="5">
        <f t="shared" si="69"/>
        <v>0</v>
      </c>
      <c r="P118" s="5">
        <f t="shared" si="69"/>
        <v>0</v>
      </c>
      <c r="Q118" s="5">
        <f t="shared" si="69"/>
        <v>0</v>
      </c>
      <c r="R118" s="5">
        <f t="shared" si="69"/>
        <v>0</v>
      </c>
      <c r="S118" s="5">
        <f t="shared" si="69"/>
        <v>0</v>
      </c>
      <c r="T118" s="5">
        <f t="shared" si="69"/>
        <v>0</v>
      </c>
      <c r="U118" s="5">
        <f t="shared" si="69"/>
        <v>0</v>
      </c>
      <c r="V118" s="12">
        <f t="shared" si="62"/>
        <v>0</v>
      </c>
      <c r="W118" s="12">
        <f t="shared" si="63"/>
        <v>12</v>
      </c>
      <c r="X118" s="3">
        <f t="shared" si="64"/>
        <v>3.5999999999999996</v>
      </c>
      <c r="Y118" s="4">
        <f t="shared" si="65"/>
        <v>2</v>
      </c>
      <c r="Z118" s="4">
        <v>5</v>
      </c>
      <c r="AA118" s="4">
        <f t="shared" si="66"/>
        <v>9</v>
      </c>
    </row>
    <row r="119" spans="2:28" x14ac:dyDescent="0.3">
      <c r="B119" t="str">
        <f t="shared" si="60"/>
        <v>Jack Sullivan</v>
      </c>
      <c r="C119" s="5">
        <f t="shared" si="68"/>
        <v>-12</v>
      </c>
      <c r="D119" s="5">
        <f t="shared" si="68"/>
        <v>0</v>
      </c>
      <c r="E119" s="5">
        <f t="shared" si="68"/>
        <v>0</v>
      </c>
      <c r="F119" s="5">
        <f t="shared" si="68"/>
        <v>0</v>
      </c>
      <c r="G119" s="5">
        <f t="shared" si="68"/>
        <v>0</v>
      </c>
      <c r="H119" s="5">
        <f t="shared" si="68"/>
        <v>0</v>
      </c>
      <c r="I119" s="5">
        <f t="shared" si="68"/>
        <v>0</v>
      </c>
      <c r="J119" s="5">
        <f t="shared" si="68"/>
        <v>0</v>
      </c>
      <c r="K119" s="5">
        <f t="shared" si="68"/>
        <v>0</v>
      </c>
      <c r="L119" s="12">
        <f t="shared" si="61"/>
        <v>-12</v>
      </c>
      <c r="M119" s="5">
        <f t="shared" si="69"/>
        <v>0</v>
      </c>
      <c r="N119" s="5">
        <f t="shared" si="69"/>
        <v>0</v>
      </c>
      <c r="O119" s="5">
        <f t="shared" si="69"/>
        <v>0</v>
      </c>
      <c r="P119" s="5">
        <f t="shared" si="69"/>
        <v>0</v>
      </c>
      <c r="Q119" s="5">
        <f t="shared" si="69"/>
        <v>0</v>
      </c>
      <c r="R119" s="5">
        <f t="shared" si="69"/>
        <v>0</v>
      </c>
      <c r="S119" s="5">
        <f t="shared" si="69"/>
        <v>0</v>
      </c>
      <c r="T119" s="5">
        <f t="shared" si="69"/>
        <v>0</v>
      </c>
      <c r="U119" s="5">
        <f t="shared" si="69"/>
        <v>0</v>
      </c>
      <c r="V119" s="12">
        <f t="shared" si="62"/>
        <v>0</v>
      </c>
      <c r="W119" s="12">
        <f t="shared" si="63"/>
        <v>-12</v>
      </c>
      <c r="X119" s="3">
        <f t="shared" si="64"/>
        <v>-3.5999999999999996</v>
      </c>
      <c r="Y119" s="4">
        <f t="shared" si="65"/>
        <v>2</v>
      </c>
      <c r="Z119" s="4">
        <v>5</v>
      </c>
      <c r="AA119" s="4">
        <f t="shared" si="66"/>
        <v>9</v>
      </c>
    </row>
    <row r="120" spans="2:28" x14ac:dyDescent="0.3">
      <c r="B120" t="str">
        <f t="shared" si="60"/>
        <v>Chris Flynn</v>
      </c>
      <c r="C120" s="5">
        <f t="shared" si="68"/>
        <v>-8</v>
      </c>
      <c r="D120" s="5">
        <f t="shared" si="68"/>
        <v>0</v>
      </c>
      <c r="E120" s="5">
        <f t="shared" si="68"/>
        <v>0</v>
      </c>
      <c r="F120" s="5">
        <f t="shared" si="68"/>
        <v>0</v>
      </c>
      <c r="G120" s="5">
        <f t="shared" si="68"/>
        <v>0</v>
      </c>
      <c r="H120" s="5">
        <f t="shared" si="68"/>
        <v>0</v>
      </c>
      <c r="I120" s="5">
        <f t="shared" si="68"/>
        <v>0</v>
      </c>
      <c r="J120" s="5">
        <f t="shared" si="68"/>
        <v>0</v>
      </c>
      <c r="K120" s="5">
        <f t="shared" si="68"/>
        <v>0</v>
      </c>
      <c r="L120" s="12">
        <f t="shared" si="61"/>
        <v>-8</v>
      </c>
      <c r="M120" s="5">
        <f t="shared" si="69"/>
        <v>0</v>
      </c>
      <c r="N120" s="5">
        <f t="shared" si="69"/>
        <v>0</v>
      </c>
      <c r="O120" s="5">
        <f t="shared" si="69"/>
        <v>0</v>
      </c>
      <c r="P120" s="5">
        <f t="shared" si="69"/>
        <v>0</v>
      </c>
      <c r="Q120" s="5">
        <f t="shared" si="69"/>
        <v>0</v>
      </c>
      <c r="R120" s="5">
        <f t="shared" si="69"/>
        <v>0</v>
      </c>
      <c r="S120" s="5">
        <f t="shared" si="69"/>
        <v>0</v>
      </c>
      <c r="T120" s="5">
        <f t="shared" si="69"/>
        <v>0</v>
      </c>
      <c r="U120" s="5">
        <f t="shared" si="69"/>
        <v>0</v>
      </c>
      <c r="V120" s="12">
        <f t="shared" si="62"/>
        <v>0</v>
      </c>
      <c r="W120" s="12">
        <f t="shared" si="63"/>
        <v>-8</v>
      </c>
      <c r="X120" s="3">
        <f t="shared" si="64"/>
        <v>-2.4</v>
      </c>
      <c r="Y120" s="4">
        <f t="shared" si="65"/>
        <v>2</v>
      </c>
      <c r="Z120" s="4">
        <v>5</v>
      </c>
      <c r="AA120" s="4">
        <f t="shared" si="66"/>
        <v>9</v>
      </c>
    </row>
    <row r="121" spans="2:28" x14ac:dyDescent="0.3">
      <c r="B121" t="str">
        <f>+B98</f>
        <v>Net</v>
      </c>
      <c r="C121" s="5">
        <f>+C97+C73</f>
        <v>-2</v>
      </c>
      <c r="D121" s="5">
        <f t="shared" ref="D121:W121" si="70">+D97+D73</f>
        <v>36</v>
      </c>
      <c r="E121" s="5">
        <f t="shared" si="70"/>
        <v>26</v>
      </c>
      <c r="F121" s="5">
        <f t="shared" si="70"/>
        <v>6</v>
      </c>
      <c r="G121" s="5">
        <f t="shared" si="70"/>
        <v>4</v>
      </c>
      <c r="H121" s="5">
        <f t="shared" si="70"/>
        <v>0</v>
      </c>
      <c r="I121" s="5">
        <f t="shared" si="70"/>
        <v>0</v>
      </c>
      <c r="J121" s="5">
        <f t="shared" si="70"/>
        <v>0</v>
      </c>
      <c r="K121" s="5">
        <f t="shared" si="70"/>
        <v>0</v>
      </c>
      <c r="L121" s="12">
        <f t="shared" si="70"/>
        <v>0</v>
      </c>
      <c r="M121" s="5">
        <f t="shared" si="70"/>
        <v>0</v>
      </c>
      <c r="N121" s="5">
        <f t="shared" si="70"/>
        <v>0</v>
      </c>
      <c r="O121" s="5">
        <f t="shared" si="70"/>
        <v>0</v>
      </c>
      <c r="P121" s="5">
        <f t="shared" si="70"/>
        <v>0</v>
      </c>
      <c r="Q121" s="5">
        <f t="shared" si="70"/>
        <v>0</v>
      </c>
      <c r="R121" s="5">
        <f t="shared" si="70"/>
        <v>0</v>
      </c>
      <c r="S121" s="5">
        <f t="shared" si="70"/>
        <v>0</v>
      </c>
      <c r="T121" s="5">
        <f t="shared" si="70"/>
        <v>0</v>
      </c>
      <c r="U121" s="5">
        <f t="shared" si="70"/>
        <v>0</v>
      </c>
      <c r="V121" s="12">
        <f t="shared" si="70"/>
        <v>0</v>
      </c>
      <c r="W121" s="12">
        <f t="shared" si="70"/>
        <v>0</v>
      </c>
      <c r="X121" s="3">
        <f t="shared" si="64"/>
        <v>0</v>
      </c>
      <c r="Y121" s="4">
        <f t="shared" si="65"/>
        <v>2</v>
      </c>
      <c r="Z121" s="4">
        <v>5</v>
      </c>
      <c r="AA121" s="4">
        <f t="shared" si="66"/>
        <v>9</v>
      </c>
    </row>
    <row r="122" spans="2:28" x14ac:dyDescent="0.3">
      <c r="C122" s="5"/>
      <c r="D122" s="5"/>
      <c r="E122" s="5"/>
      <c r="F122" s="5"/>
      <c r="G122" s="5"/>
      <c r="H122" s="5"/>
      <c r="I122" s="5"/>
      <c r="J122" s="5"/>
      <c r="K122" s="5"/>
      <c r="L122" s="12"/>
      <c r="M122" s="5"/>
      <c r="N122" s="5"/>
      <c r="O122" s="5"/>
      <c r="P122" s="5"/>
      <c r="Q122" s="5"/>
      <c r="R122" s="5"/>
      <c r="S122" s="5"/>
      <c r="T122" s="5"/>
      <c r="U122" s="5"/>
      <c r="V122" s="12"/>
      <c r="W122" s="12"/>
      <c r="X122" s="3"/>
      <c r="Y122" s="4"/>
      <c r="Z122" s="4"/>
      <c r="AA122" s="4"/>
    </row>
    <row r="123" spans="2:28" x14ac:dyDescent="0.3">
      <c r="C123" s="5"/>
      <c r="D123" s="5"/>
      <c r="E123" s="5"/>
      <c r="F123" s="5"/>
      <c r="G123" s="5"/>
      <c r="H123" s="5"/>
      <c r="I123" s="5"/>
      <c r="J123" s="5"/>
      <c r="K123" s="5"/>
      <c r="L123" s="12"/>
      <c r="M123" s="5"/>
      <c r="N123" s="5"/>
      <c r="O123" s="5"/>
      <c r="P123" s="5"/>
      <c r="Q123" s="5"/>
      <c r="R123" s="5"/>
      <c r="S123" s="5"/>
      <c r="T123" s="5"/>
      <c r="U123" s="5"/>
      <c r="V123" s="12"/>
      <c r="W123" s="12"/>
      <c r="X123" s="3"/>
      <c r="Y123" s="4"/>
      <c r="Z123" s="4"/>
      <c r="AA12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V15" sqref="V15"/>
    </sheetView>
  </sheetViews>
  <sheetFormatPr defaultRowHeight="14.4" x14ac:dyDescent="0.3"/>
  <cols>
    <col min="2" max="2" width="18.6640625" customWidth="1"/>
    <col min="3" max="3" width="6.109375" customWidth="1"/>
    <col min="4" max="4" width="7.109375" customWidth="1"/>
    <col min="5" max="5" width="6.109375" customWidth="1"/>
    <col min="6" max="6" width="5.88671875" customWidth="1"/>
    <col min="7" max="7" width="6" customWidth="1"/>
    <col min="8" max="8" width="6.33203125" customWidth="1"/>
    <col min="9" max="9" width="5.77734375" customWidth="1"/>
    <col min="10" max="10" width="5.109375" customWidth="1"/>
    <col min="11" max="11" width="5.88671875" customWidth="1"/>
    <col min="12" max="12" width="6.6640625" customWidth="1"/>
    <col min="13" max="13" width="6.33203125" customWidth="1"/>
    <col min="14" max="14" width="5.88671875" customWidth="1"/>
    <col min="15" max="15" width="6.6640625" customWidth="1"/>
    <col min="16" max="16" width="7.33203125" customWidth="1"/>
    <col min="17" max="17" width="5.33203125" customWidth="1"/>
    <col min="18" max="18" width="6.33203125" customWidth="1"/>
    <col min="19" max="19" width="6.109375" customWidth="1"/>
    <col min="20" max="20" width="6" customWidth="1"/>
    <col min="21" max="22" width="6.6640625" customWidth="1"/>
  </cols>
  <sheetData>
    <row r="1" spans="1:27" x14ac:dyDescent="0.3">
      <c r="X1" t="s">
        <v>21</v>
      </c>
      <c r="Y1" t="s">
        <v>14</v>
      </c>
      <c r="Z1" t="s">
        <v>45</v>
      </c>
      <c r="AA1">
        <v>2022</v>
      </c>
    </row>
    <row r="2" spans="1:27" x14ac:dyDescent="0.3">
      <c r="B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16" t="s">
        <v>17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17" t="s">
        <v>18</v>
      </c>
      <c r="W2" s="6" t="s">
        <v>1</v>
      </c>
      <c r="X2" t="s">
        <v>13</v>
      </c>
      <c r="Y2" t="s">
        <v>16</v>
      </c>
      <c r="Z2" t="s">
        <v>16</v>
      </c>
      <c r="AA2" t="s">
        <v>13</v>
      </c>
    </row>
    <row r="3" spans="1:27" x14ac:dyDescent="0.3">
      <c r="A3">
        <v>1</v>
      </c>
      <c r="B3" t="s">
        <v>31</v>
      </c>
      <c r="C3" s="5">
        <v>5</v>
      </c>
      <c r="D3" s="5">
        <v>4</v>
      </c>
      <c r="E3" s="5">
        <v>5</v>
      </c>
      <c r="F3" s="5">
        <v>6</v>
      </c>
      <c r="G3" s="5">
        <v>4</v>
      </c>
      <c r="H3" s="5">
        <v>4</v>
      </c>
      <c r="I3" s="5">
        <v>7</v>
      </c>
      <c r="J3" s="5">
        <v>5</v>
      </c>
      <c r="K3" s="5">
        <v>5</v>
      </c>
      <c r="L3" s="12">
        <f t="shared" ref="L3:L24" si="0">SUM(C3:K3)</f>
        <v>45</v>
      </c>
      <c r="M3" s="5">
        <v>6</v>
      </c>
      <c r="N3" s="5">
        <v>6</v>
      </c>
      <c r="O3" s="5">
        <v>7</v>
      </c>
      <c r="P3" s="5">
        <v>5</v>
      </c>
      <c r="Q3" s="5">
        <v>3</v>
      </c>
      <c r="R3" s="5">
        <v>4</v>
      </c>
      <c r="S3" s="5">
        <v>6</v>
      </c>
      <c r="T3" s="5">
        <v>5</v>
      </c>
      <c r="U3" s="5">
        <v>4</v>
      </c>
      <c r="V3" s="12">
        <f t="shared" ref="V3:V15" si="1">SUM(M3:U3)</f>
        <v>46</v>
      </c>
      <c r="W3" s="12">
        <f t="shared" ref="W3:W24" si="2">+L3+V3</f>
        <v>91</v>
      </c>
      <c r="X3" s="5">
        <v>21.875</v>
      </c>
      <c r="Y3" s="5">
        <f>+W3-X3</f>
        <v>69.125</v>
      </c>
      <c r="Z3" s="14">
        <f>+Y3+'2021 day 2'!Z3</f>
        <v>202.375</v>
      </c>
      <c r="AA3" s="5">
        <f>(W3-70)*0.875</f>
        <v>18.375</v>
      </c>
    </row>
    <row r="4" spans="1:27" x14ac:dyDescent="0.3">
      <c r="A4">
        <f>+A3+1</f>
        <v>2</v>
      </c>
      <c r="B4" t="s">
        <v>11</v>
      </c>
      <c r="C4" s="5">
        <v>4</v>
      </c>
      <c r="D4" s="5">
        <v>4</v>
      </c>
      <c r="E4" s="5">
        <v>6</v>
      </c>
      <c r="F4" s="5">
        <v>7</v>
      </c>
      <c r="G4" s="5">
        <v>3</v>
      </c>
      <c r="H4" s="5">
        <v>4</v>
      </c>
      <c r="I4" s="5">
        <v>5</v>
      </c>
      <c r="J4" s="5">
        <v>5</v>
      </c>
      <c r="K4" s="5">
        <v>5</v>
      </c>
      <c r="L4" s="12">
        <f t="shared" si="0"/>
        <v>43</v>
      </c>
      <c r="M4" s="5">
        <v>4</v>
      </c>
      <c r="N4" s="5">
        <v>5</v>
      </c>
      <c r="O4" s="5">
        <v>6</v>
      </c>
      <c r="P4" s="5">
        <v>7</v>
      </c>
      <c r="Q4" s="5">
        <v>3</v>
      </c>
      <c r="R4" s="5">
        <v>4</v>
      </c>
      <c r="S4" s="5">
        <v>6</v>
      </c>
      <c r="T4" s="5">
        <v>5</v>
      </c>
      <c r="U4" s="5">
        <v>5</v>
      </c>
      <c r="V4" s="12">
        <f t="shared" si="1"/>
        <v>45</v>
      </c>
      <c r="W4" s="12">
        <f t="shared" si="2"/>
        <v>88</v>
      </c>
      <c r="X4" s="5">
        <v>18.375</v>
      </c>
      <c r="Y4" s="5">
        <f t="shared" ref="Y4:Y24" si="3">+W4-X4</f>
        <v>69.625</v>
      </c>
      <c r="Z4" s="14">
        <f>+Y4+'2021 day 2'!Z4</f>
        <v>209.875</v>
      </c>
      <c r="AA4" s="5">
        <f t="shared" ref="AA4:AA24" si="4">(W4-70)*0.875</f>
        <v>15.75</v>
      </c>
    </row>
    <row r="5" spans="1:27" x14ac:dyDescent="0.3">
      <c r="A5">
        <f t="shared" ref="A5:A24" si="5">+A4+1</f>
        <v>3</v>
      </c>
      <c r="B5" t="s">
        <v>3</v>
      </c>
      <c r="C5" s="5">
        <v>4</v>
      </c>
      <c r="D5" s="5">
        <v>7</v>
      </c>
      <c r="E5" s="5">
        <v>6</v>
      </c>
      <c r="F5" s="5">
        <v>6</v>
      </c>
      <c r="G5" s="5">
        <v>9</v>
      </c>
      <c r="H5" s="5">
        <v>4</v>
      </c>
      <c r="I5" s="5">
        <v>7</v>
      </c>
      <c r="J5" s="5">
        <v>5</v>
      </c>
      <c r="K5" s="5">
        <v>4</v>
      </c>
      <c r="L5" s="12">
        <f t="shared" si="0"/>
        <v>52</v>
      </c>
      <c r="M5" s="5">
        <v>5</v>
      </c>
      <c r="N5" s="5">
        <v>7</v>
      </c>
      <c r="O5" s="5">
        <v>7</v>
      </c>
      <c r="P5" s="5">
        <v>5</v>
      </c>
      <c r="Q5" s="5">
        <v>2</v>
      </c>
      <c r="R5" s="5">
        <v>3</v>
      </c>
      <c r="S5" s="5">
        <v>8</v>
      </c>
      <c r="T5" s="5">
        <v>7</v>
      </c>
      <c r="U5" s="5">
        <v>5</v>
      </c>
      <c r="V5" s="12">
        <f t="shared" si="1"/>
        <v>49</v>
      </c>
      <c r="W5" s="12">
        <f t="shared" si="2"/>
        <v>101</v>
      </c>
      <c r="X5" s="5">
        <v>26.25</v>
      </c>
      <c r="Y5" s="5">
        <f t="shared" si="3"/>
        <v>74.75</v>
      </c>
      <c r="Z5" s="14">
        <f>+Y5+'2021 day 2'!Z5</f>
        <v>219.375</v>
      </c>
      <c r="AA5" s="5">
        <f t="shared" si="4"/>
        <v>27.125</v>
      </c>
    </row>
    <row r="6" spans="1:27" x14ac:dyDescent="0.3">
      <c r="A6">
        <f t="shared" si="5"/>
        <v>4</v>
      </c>
      <c r="B6" t="s">
        <v>4</v>
      </c>
      <c r="C6" s="5">
        <v>5</v>
      </c>
      <c r="D6" s="5">
        <v>5</v>
      </c>
      <c r="E6" s="5">
        <v>6</v>
      </c>
      <c r="F6" s="5">
        <v>7</v>
      </c>
      <c r="G6" s="5">
        <v>3</v>
      </c>
      <c r="H6" s="5">
        <v>4</v>
      </c>
      <c r="I6" s="5">
        <v>5</v>
      </c>
      <c r="J6" s="5">
        <v>7</v>
      </c>
      <c r="K6" s="5">
        <v>7</v>
      </c>
      <c r="L6" s="12">
        <f t="shared" si="0"/>
        <v>49</v>
      </c>
      <c r="M6" s="5">
        <v>5</v>
      </c>
      <c r="N6" s="5">
        <v>5</v>
      </c>
      <c r="O6" s="5">
        <v>5</v>
      </c>
      <c r="P6" s="5">
        <v>7</v>
      </c>
      <c r="Q6" s="5">
        <v>4</v>
      </c>
      <c r="R6" s="5">
        <v>4</v>
      </c>
      <c r="S6" s="5">
        <v>6</v>
      </c>
      <c r="T6" s="5">
        <v>6</v>
      </c>
      <c r="U6" s="5">
        <v>6</v>
      </c>
      <c r="V6" s="12">
        <f t="shared" si="1"/>
        <v>48</v>
      </c>
      <c r="W6" s="12">
        <f t="shared" si="2"/>
        <v>97</v>
      </c>
      <c r="X6" s="5">
        <v>12.25</v>
      </c>
      <c r="Y6" s="5">
        <f t="shared" si="3"/>
        <v>84.75</v>
      </c>
      <c r="Z6" s="14">
        <f>+Y6+'2021 day 2'!Z6</f>
        <v>220.875</v>
      </c>
      <c r="AA6" s="5">
        <f t="shared" si="4"/>
        <v>23.625</v>
      </c>
    </row>
    <row r="7" spans="1:27" x14ac:dyDescent="0.3">
      <c r="A7">
        <f t="shared" si="5"/>
        <v>5</v>
      </c>
      <c r="B7" t="s">
        <v>5</v>
      </c>
      <c r="C7" s="5">
        <v>5</v>
      </c>
      <c r="D7" s="5">
        <v>5</v>
      </c>
      <c r="E7" s="5">
        <v>5</v>
      </c>
      <c r="F7" s="5">
        <v>6</v>
      </c>
      <c r="G7" s="5">
        <v>4</v>
      </c>
      <c r="H7" s="5">
        <v>5</v>
      </c>
      <c r="I7" s="5">
        <v>6</v>
      </c>
      <c r="J7" s="5">
        <v>6</v>
      </c>
      <c r="K7" s="5">
        <v>4</v>
      </c>
      <c r="L7" s="12">
        <f t="shared" si="0"/>
        <v>46</v>
      </c>
      <c r="M7" s="5">
        <v>5</v>
      </c>
      <c r="N7" s="5">
        <v>4</v>
      </c>
      <c r="O7" s="5">
        <v>6</v>
      </c>
      <c r="P7" s="5">
        <v>4</v>
      </c>
      <c r="Q7" s="5">
        <v>4</v>
      </c>
      <c r="R7" s="5">
        <v>6</v>
      </c>
      <c r="S7" s="5">
        <v>4</v>
      </c>
      <c r="T7" s="5">
        <v>5</v>
      </c>
      <c r="U7" s="5">
        <v>4</v>
      </c>
      <c r="V7" s="12">
        <f t="shared" si="1"/>
        <v>42</v>
      </c>
      <c r="W7" s="12">
        <f t="shared" si="2"/>
        <v>88</v>
      </c>
      <c r="X7" s="5">
        <v>18.375</v>
      </c>
      <c r="Y7" s="5">
        <f t="shared" si="3"/>
        <v>69.625</v>
      </c>
      <c r="Z7" s="14">
        <f>+Y7+'2021 day 2'!Z7</f>
        <v>215.375</v>
      </c>
      <c r="AA7" s="5">
        <f t="shared" si="4"/>
        <v>15.75</v>
      </c>
    </row>
    <row r="8" spans="1:27" x14ac:dyDescent="0.3">
      <c r="A8">
        <f t="shared" si="5"/>
        <v>6</v>
      </c>
      <c r="B8" t="s">
        <v>6</v>
      </c>
      <c r="C8" s="5">
        <v>6</v>
      </c>
      <c r="D8" s="5">
        <v>5</v>
      </c>
      <c r="E8" s="5">
        <v>5</v>
      </c>
      <c r="F8" s="5">
        <v>6</v>
      </c>
      <c r="G8" s="5">
        <v>4</v>
      </c>
      <c r="H8" s="5">
        <v>6</v>
      </c>
      <c r="I8" s="5">
        <v>4</v>
      </c>
      <c r="J8" s="5">
        <v>6</v>
      </c>
      <c r="K8" s="5">
        <v>4</v>
      </c>
      <c r="L8" s="12">
        <f t="shared" si="0"/>
        <v>46</v>
      </c>
      <c r="M8" s="5">
        <v>6</v>
      </c>
      <c r="N8" s="5">
        <v>5</v>
      </c>
      <c r="O8" s="5">
        <v>6</v>
      </c>
      <c r="P8" s="5">
        <v>6</v>
      </c>
      <c r="Q8" s="5">
        <v>5</v>
      </c>
      <c r="R8" s="5">
        <v>3</v>
      </c>
      <c r="S8" s="5">
        <v>5</v>
      </c>
      <c r="T8" s="5">
        <v>5</v>
      </c>
      <c r="U8" s="5">
        <v>6</v>
      </c>
      <c r="V8" s="12">
        <f t="shared" si="1"/>
        <v>47</v>
      </c>
      <c r="W8" s="12">
        <f t="shared" si="2"/>
        <v>93</v>
      </c>
      <c r="X8" s="5">
        <v>18.375</v>
      </c>
      <c r="Y8" s="5">
        <f t="shared" si="3"/>
        <v>74.625</v>
      </c>
      <c r="Z8" s="14">
        <f>+Y8+'2021 day 2'!Z8</f>
        <v>212.75</v>
      </c>
      <c r="AA8" s="5">
        <f t="shared" si="4"/>
        <v>20.125</v>
      </c>
    </row>
    <row r="9" spans="1:27" x14ac:dyDescent="0.3">
      <c r="A9">
        <f t="shared" si="5"/>
        <v>7</v>
      </c>
      <c r="B9" t="s">
        <v>7</v>
      </c>
      <c r="C9" s="5">
        <v>6</v>
      </c>
      <c r="D9" s="5">
        <v>7</v>
      </c>
      <c r="E9" s="5">
        <v>5</v>
      </c>
      <c r="F9" s="5">
        <v>10</v>
      </c>
      <c r="G9" s="5">
        <v>5</v>
      </c>
      <c r="H9" s="5">
        <v>6</v>
      </c>
      <c r="I9" s="5">
        <v>6</v>
      </c>
      <c r="J9" s="5">
        <v>7</v>
      </c>
      <c r="K9" s="5">
        <v>4</v>
      </c>
      <c r="L9" s="12">
        <f t="shared" si="0"/>
        <v>56</v>
      </c>
      <c r="M9" s="5">
        <v>6</v>
      </c>
      <c r="N9" s="5">
        <v>9</v>
      </c>
      <c r="O9" s="5">
        <v>6</v>
      </c>
      <c r="P9" s="5">
        <v>10</v>
      </c>
      <c r="Q9" s="5">
        <v>3</v>
      </c>
      <c r="R9" s="5">
        <v>4</v>
      </c>
      <c r="S9" s="5">
        <v>7</v>
      </c>
      <c r="T9" s="5">
        <v>7</v>
      </c>
      <c r="U9" s="5">
        <v>6</v>
      </c>
      <c r="V9" s="12">
        <f t="shared" si="1"/>
        <v>58</v>
      </c>
      <c r="W9" s="12">
        <f t="shared" si="2"/>
        <v>114</v>
      </c>
      <c r="X9" s="5">
        <v>49.875</v>
      </c>
      <c r="Y9" s="5">
        <f t="shared" si="3"/>
        <v>64.125</v>
      </c>
      <c r="Z9" s="14">
        <f>+Y9+'2021 day 2'!Z9</f>
        <v>212.375</v>
      </c>
      <c r="AA9" s="5">
        <f t="shared" si="4"/>
        <v>38.5</v>
      </c>
    </row>
    <row r="10" spans="1:27" x14ac:dyDescent="0.3">
      <c r="A10">
        <f t="shared" si="5"/>
        <v>8</v>
      </c>
      <c r="B10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12">
        <f t="shared" si="0"/>
        <v>0</v>
      </c>
      <c r="M10" s="5"/>
      <c r="N10" s="5"/>
      <c r="O10" s="5"/>
      <c r="P10" s="5"/>
      <c r="Q10" s="5"/>
      <c r="R10" s="5"/>
      <c r="S10" s="5"/>
      <c r="T10" s="5"/>
      <c r="U10" s="5"/>
      <c r="V10" s="12">
        <f t="shared" si="1"/>
        <v>0</v>
      </c>
      <c r="W10" s="12">
        <f t="shared" si="2"/>
        <v>0</v>
      </c>
      <c r="X10" s="5">
        <v>18.375</v>
      </c>
      <c r="Y10" s="5">
        <f t="shared" si="3"/>
        <v>-18.375</v>
      </c>
      <c r="Z10" s="14">
        <f>+Y10+'2021 day 2'!Z10</f>
        <v>130.375</v>
      </c>
      <c r="AA10" s="5">
        <f t="shared" si="4"/>
        <v>-61.25</v>
      </c>
    </row>
    <row r="11" spans="1:27" x14ac:dyDescent="0.3">
      <c r="A11">
        <f t="shared" si="5"/>
        <v>9</v>
      </c>
      <c r="B11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12">
        <f t="shared" si="0"/>
        <v>0</v>
      </c>
      <c r="M11" s="5"/>
      <c r="N11" s="5"/>
      <c r="O11" s="5"/>
      <c r="P11" s="5"/>
      <c r="Q11" s="5"/>
      <c r="R11" s="5"/>
      <c r="S11" s="5"/>
      <c r="T11" s="5"/>
      <c r="U11" s="5"/>
      <c r="V11" s="12">
        <f t="shared" si="1"/>
        <v>0</v>
      </c>
      <c r="W11" s="12">
        <f t="shared" si="2"/>
        <v>0</v>
      </c>
      <c r="X11" s="5">
        <v>17.5</v>
      </c>
      <c r="Y11" s="5">
        <f t="shared" si="3"/>
        <v>-17.5</v>
      </c>
      <c r="Z11" s="14">
        <f>+Y11+'2021 day 2'!Z11</f>
        <v>129.125</v>
      </c>
      <c r="AA11" s="5">
        <f t="shared" si="4"/>
        <v>-61.25</v>
      </c>
    </row>
    <row r="12" spans="1:27" x14ac:dyDescent="0.3">
      <c r="A12">
        <f t="shared" si="5"/>
        <v>10</v>
      </c>
      <c r="B12" t="s">
        <v>10</v>
      </c>
      <c r="C12" s="5">
        <v>5</v>
      </c>
      <c r="D12" s="5">
        <v>4</v>
      </c>
      <c r="E12" s="5">
        <v>5</v>
      </c>
      <c r="F12" s="5">
        <v>6</v>
      </c>
      <c r="G12" s="5">
        <v>3</v>
      </c>
      <c r="H12" s="5">
        <v>4</v>
      </c>
      <c r="I12" s="5">
        <v>6</v>
      </c>
      <c r="J12" s="5">
        <v>5</v>
      </c>
      <c r="K12" s="5">
        <v>5</v>
      </c>
      <c r="L12" s="12">
        <f t="shared" si="0"/>
        <v>43</v>
      </c>
      <c r="M12" s="5">
        <v>5</v>
      </c>
      <c r="N12" s="5">
        <v>4</v>
      </c>
      <c r="O12" s="5">
        <v>5</v>
      </c>
      <c r="P12" s="5">
        <v>7</v>
      </c>
      <c r="Q12" s="5">
        <v>4</v>
      </c>
      <c r="R12" s="5">
        <v>4</v>
      </c>
      <c r="S12" s="5">
        <v>6</v>
      </c>
      <c r="T12" s="5">
        <v>5</v>
      </c>
      <c r="U12" s="5">
        <v>6</v>
      </c>
      <c r="V12" s="12">
        <f t="shared" si="1"/>
        <v>46</v>
      </c>
      <c r="W12" s="12">
        <f t="shared" si="2"/>
        <v>89</v>
      </c>
      <c r="X12" s="5">
        <v>5.25</v>
      </c>
      <c r="Y12" s="5">
        <f t="shared" si="3"/>
        <v>83.75</v>
      </c>
      <c r="Z12" s="14">
        <f>+Y12+'2021 day 2'!Z12</f>
        <v>217.625</v>
      </c>
      <c r="AA12" s="5">
        <f t="shared" si="4"/>
        <v>16.625</v>
      </c>
    </row>
    <row r="13" spans="1:27" x14ac:dyDescent="0.3">
      <c r="A13">
        <f t="shared" si="5"/>
        <v>11</v>
      </c>
      <c r="B13" t="s">
        <v>36</v>
      </c>
      <c r="C13" s="5"/>
      <c r="D13" s="5"/>
      <c r="E13" s="5"/>
      <c r="F13" s="5"/>
      <c r="G13" s="5"/>
      <c r="H13" s="5"/>
      <c r="I13" s="5"/>
      <c r="J13" s="5"/>
      <c r="K13" s="5"/>
      <c r="L13" s="12">
        <f t="shared" si="0"/>
        <v>0</v>
      </c>
      <c r="M13" s="5"/>
      <c r="N13" s="5"/>
      <c r="O13" s="5"/>
      <c r="P13" s="5"/>
      <c r="Q13" s="5"/>
      <c r="R13" s="5"/>
      <c r="S13" s="5"/>
      <c r="T13" s="5"/>
      <c r="U13" s="5"/>
      <c r="V13" s="12">
        <f>SUM(M13:U13)</f>
        <v>0</v>
      </c>
      <c r="W13" s="12">
        <f>+L13+V13</f>
        <v>0</v>
      </c>
      <c r="X13" s="5">
        <v>9.625</v>
      </c>
      <c r="Y13" s="5">
        <f t="shared" si="3"/>
        <v>-9.625</v>
      </c>
      <c r="Z13" s="14">
        <f>+Y13+'2021 day 2'!Z13</f>
        <v>138.25</v>
      </c>
      <c r="AA13" s="5">
        <f t="shared" si="4"/>
        <v>-61.25</v>
      </c>
    </row>
    <row r="14" spans="1:27" x14ac:dyDescent="0.3">
      <c r="A14">
        <f t="shared" si="5"/>
        <v>12</v>
      </c>
      <c r="B14" t="s">
        <v>12</v>
      </c>
      <c r="C14" s="5">
        <v>6</v>
      </c>
      <c r="D14" s="5">
        <v>5</v>
      </c>
      <c r="E14" s="5">
        <v>6</v>
      </c>
      <c r="F14" s="5">
        <v>6</v>
      </c>
      <c r="G14" s="5">
        <v>4</v>
      </c>
      <c r="H14" s="5">
        <v>5</v>
      </c>
      <c r="I14" s="5">
        <v>6</v>
      </c>
      <c r="J14" s="5">
        <v>4</v>
      </c>
      <c r="K14" s="5">
        <v>5</v>
      </c>
      <c r="L14" s="12">
        <f t="shared" si="0"/>
        <v>47</v>
      </c>
      <c r="M14" s="5">
        <v>5</v>
      </c>
      <c r="N14" s="5">
        <v>4</v>
      </c>
      <c r="O14" s="5">
        <v>5</v>
      </c>
      <c r="P14" s="5">
        <v>8</v>
      </c>
      <c r="Q14" s="5">
        <v>4</v>
      </c>
      <c r="R14" s="5">
        <v>9</v>
      </c>
      <c r="S14" s="5">
        <v>5</v>
      </c>
      <c r="T14" s="5">
        <v>6</v>
      </c>
      <c r="U14" s="5">
        <v>7</v>
      </c>
      <c r="V14" s="12">
        <f t="shared" si="1"/>
        <v>53</v>
      </c>
      <c r="W14" s="12">
        <f t="shared" si="2"/>
        <v>100</v>
      </c>
      <c r="X14" s="5">
        <v>17.5</v>
      </c>
      <c r="Y14" s="5">
        <f t="shared" si="3"/>
        <v>82.5</v>
      </c>
      <c r="Z14" s="14">
        <f>+Y14+'2021 day 2'!Z14</f>
        <v>220.75</v>
      </c>
      <c r="AA14" s="5">
        <f t="shared" si="4"/>
        <v>26.25</v>
      </c>
    </row>
    <row r="15" spans="1:27" x14ac:dyDescent="0.3">
      <c r="A15">
        <f t="shared" si="5"/>
        <v>13</v>
      </c>
      <c r="B15" t="s">
        <v>22</v>
      </c>
      <c r="C15" s="5">
        <v>5</v>
      </c>
      <c r="D15" s="5">
        <v>5</v>
      </c>
      <c r="E15" s="5">
        <v>5</v>
      </c>
      <c r="F15" s="5">
        <v>7</v>
      </c>
      <c r="G15" s="5">
        <v>4</v>
      </c>
      <c r="H15" s="5">
        <v>3</v>
      </c>
      <c r="I15" s="5">
        <v>6</v>
      </c>
      <c r="J15" s="5">
        <v>6</v>
      </c>
      <c r="K15" s="5">
        <v>6</v>
      </c>
      <c r="L15" s="12">
        <f t="shared" si="0"/>
        <v>47</v>
      </c>
      <c r="M15" s="5">
        <v>4</v>
      </c>
      <c r="N15" s="5">
        <v>7</v>
      </c>
      <c r="O15" s="5">
        <v>6</v>
      </c>
      <c r="P15" s="5">
        <v>11</v>
      </c>
      <c r="Q15" s="5">
        <v>4</v>
      </c>
      <c r="R15" s="5">
        <v>3</v>
      </c>
      <c r="S15" s="5">
        <v>6</v>
      </c>
      <c r="T15" s="5">
        <v>5</v>
      </c>
      <c r="U15" s="5">
        <v>6</v>
      </c>
      <c r="V15" s="12">
        <f t="shared" si="1"/>
        <v>52</v>
      </c>
      <c r="W15" s="12">
        <f t="shared" si="2"/>
        <v>99</v>
      </c>
      <c r="X15" s="5">
        <v>25.375</v>
      </c>
      <c r="Y15" s="5">
        <f t="shared" si="3"/>
        <v>73.625</v>
      </c>
      <c r="Z15" s="14">
        <f>+Y15+'2021 day 2'!Z15</f>
        <v>218.125</v>
      </c>
      <c r="AA15" s="5">
        <f t="shared" si="4"/>
        <v>25.375</v>
      </c>
    </row>
    <row r="16" spans="1:27" x14ac:dyDescent="0.3">
      <c r="A16">
        <f t="shared" si="5"/>
        <v>14</v>
      </c>
      <c r="B16" t="s">
        <v>32</v>
      </c>
      <c r="C16" s="5">
        <v>4</v>
      </c>
      <c r="D16" s="5">
        <v>5</v>
      </c>
      <c r="E16" s="5">
        <v>4</v>
      </c>
      <c r="F16" s="5">
        <v>8</v>
      </c>
      <c r="G16" s="5">
        <v>5</v>
      </c>
      <c r="H16" s="5">
        <v>3</v>
      </c>
      <c r="I16" s="5">
        <v>5</v>
      </c>
      <c r="J16" s="5">
        <v>4</v>
      </c>
      <c r="K16" s="5">
        <v>4</v>
      </c>
      <c r="L16" s="12">
        <f t="shared" si="0"/>
        <v>42</v>
      </c>
      <c r="M16" s="5">
        <v>4</v>
      </c>
      <c r="N16" s="5">
        <v>4</v>
      </c>
      <c r="O16" s="5">
        <v>5</v>
      </c>
      <c r="P16" s="5">
        <v>5</v>
      </c>
      <c r="Q16" s="5">
        <v>3</v>
      </c>
      <c r="R16" s="5">
        <v>4</v>
      </c>
      <c r="S16" s="5">
        <v>5</v>
      </c>
      <c r="T16" s="5">
        <v>6</v>
      </c>
      <c r="U16" s="5">
        <v>4</v>
      </c>
      <c r="V16" s="12">
        <f t="shared" ref="V16:V24" si="6">SUM(M16:U16)</f>
        <v>40</v>
      </c>
      <c r="W16" s="12">
        <f t="shared" si="2"/>
        <v>82</v>
      </c>
      <c r="X16" s="5">
        <v>8.75</v>
      </c>
      <c r="Y16" s="5">
        <f t="shared" si="3"/>
        <v>73.25</v>
      </c>
      <c r="Z16" s="14">
        <f>+Y16+'2021 day 2'!Z16</f>
        <v>210.875</v>
      </c>
      <c r="AA16" s="5">
        <f t="shared" si="4"/>
        <v>10.5</v>
      </c>
    </row>
    <row r="17" spans="1:29" x14ac:dyDescent="0.3">
      <c r="A17">
        <f t="shared" si="5"/>
        <v>15</v>
      </c>
      <c r="B17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12">
        <f t="shared" si="0"/>
        <v>0</v>
      </c>
      <c r="M17" s="5"/>
      <c r="N17" s="5"/>
      <c r="O17" s="5"/>
      <c r="P17" s="5"/>
      <c r="Q17" s="5"/>
      <c r="R17" s="5"/>
      <c r="S17" s="5"/>
      <c r="T17" s="5"/>
      <c r="U17" s="5"/>
      <c r="V17" s="12">
        <f t="shared" si="6"/>
        <v>0</v>
      </c>
      <c r="W17" s="12">
        <f t="shared" si="2"/>
        <v>0</v>
      </c>
      <c r="X17" s="5">
        <v>9.625</v>
      </c>
      <c r="Y17" s="5">
        <f t="shared" si="3"/>
        <v>-9.625</v>
      </c>
      <c r="Z17" s="14">
        <f>+Y17+'2021 day 2'!Z17</f>
        <v>142.25</v>
      </c>
      <c r="AA17" s="5">
        <f t="shared" si="4"/>
        <v>-61.25</v>
      </c>
    </row>
    <row r="18" spans="1:29" x14ac:dyDescent="0.3">
      <c r="A18">
        <f t="shared" si="5"/>
        <v>16</v>
      </c>
      <c r="B18" t="s">
        <v>33</v>
      </c>
      <c r="C18" s="5"/>
      <c r="D18" s="5"/>
      <c r="E18" s="5"/>
      <c r="F18" s="5"/>
      <c r="G18" s="5"/>
      <c r="H18" s="5"/>
      <c r="I18" s="5"/>
      <c r="J18" s="5"/>
      <c r="K18" s="5"/>
      <c r="L18" s="12">
        <f t="shared" si="0"/>
        <v>0</v>
      </c>
      <c r="M18" s="5"/>
      <c r="N18" s="5"/>
      <c r="O18" s="5"/>
      <c r="P18" s="5"/>
      <c r="Q18" s="5"/>
      <c r="R18" s="5"/>
      <c r="S18" s="5"/>
      <c r="T18" s="5"/>
      <c r="U18" s="5"/>
      <c r="V18" s="12">
        <f>SUM(M18:U18)</f>
        <v>0</v>
      </c>
      <c r="W18" s="12">
        <f>+L18+V18</f>
        <v>0</v>
      </c>
      <c r="X18" s="5">
        <v>28</v>
      </c>
      <c r="Y18" s="5">
        <f t="shared" si="3"/>
        <v>-28</v>
      </c>
      <c r="Z18" s="14">
        <f>+Y18+'2021 day 2'!Z18</f>
        <v>148</v>
      </c>
      <c r="AA18" s="5">
        <f t="shared" si="4"/>
        <v>-61.25</v>
      </c>
    </row>
    <row r="19" spans="1:29" x14ac:dyDescent="0.3">
      <c r="A19">
        <f t="shared" si="5"/>
        <v>17</v>
      </c>
      <c r="B19" t="s">
        <v>38</v>
      </c>
      <c r="C19" s="5"/>
      <c r="D19" s="5"/>
      <c r="E19" s="5"/>
      <c r="F19" s="5"/>
      <c r="G19" s="5"/>
      <c r="H19" s="5"/>
      <c r="I19" s="5"/>
      <c r="J19" s="5"/>
      <c r="K19" s="5"/>
      <c r="L19" s="12">
        <f t="shared" si="0"/>
        <v>0</v>
      </c>
      <c r="M19" s="5"/>
      <c r="N19" s="5"/>
      <c r="O19" s="5"/>
      <c r="P19" s="5"/>
      <c r="Q19" s="5"/>
      <c r="R19" s="5"/>
      <c r="S19" s="5"/>
      <c r="T19" s="5"/>
      <c r="U19" s="5"/>
      <c r="V19" s="12">
        <f>SUM(M19:U19)</f>
        <v>0</v>
      </c>
      <c r="W19" s="12">
        <f>+L19+V19</f>
        <v>0</v>
      </c>
      <c r="X19" s="5">
        <v>23.625</v>
      </c>
      <c r="Y19" s="5">
        <f t="shared" si="3"/>
        <v>-23.625</v>
      </c>
      <c r="Z19" s="14">
        <f>+Y19+'2021 day 2'!Z19</f>
        <v>146.75</v>
      </c>
      <c r="AA19" s="5">
        <f t="shared" si="4"/>
        <v>-61.25</v>
      </c>
    </row>
    <row r="20" spans="1:29" x14ac:dyDescent="0.3">
      <c r="A20">
        <f t="shared" si="5"/>
        <v>18</v>
      </c>
      <c r="B20" t="s">
        <v>34</v>
      </c>
      <c r="C20" s="5"/>
      <c r="D20" s="5"/>
      <c r="E20" s="5"/>
      <c r="F20" s="5"/>
      <c r="G20" s="5"/>
      <c r="H20" s="5"/>
      <c r="I20" s="5"/>
      <c r="J20" s="5"/>
      <c r="K20" s="5"/>
      <c r="L20" s="12">
        <f t="shared" si="0"/>
        <v>0</v>
      </c>
      <c r="M20" s="5"/>
      <c r="N20" s="5"/>
      <c r="O20" s="5"/>
      <c r="P20" s="5"/>
      <c r="Q20" s="5"/>
      <c r="R20" s="5"/>
      <c r="S20" s="5"/>
      <c r="T20" s="5"/>
      <c r="U20" s="5"/>
      <c r="V20" s="12">
        <f>SUM(M20:U20)</f>
        <v>0</v>
      </c>
      <c r="W20" s="12">
        <f>+L20+V20</f>
        <v>0</v>
      </c>
      <c r="X20" s="5">
        <v>25.375</v>
      </c>
      <c r="Y20" s="5">
        <f t="shared" si="3"/>
        <v>-25.375</v>
      </c>
      <c r="Z20" s="14">
        <f>+Y20+'2021 day 2'!Z20</f>
        <v>147.25</v>
      </c>
      <c r="AA20" s="5">
        <f t="shared" si="4"/>
        <v>-61.25</v>
      </c>
    </row>
    <row r="21" spans="1:29" x14ac:dyDescent="0.3">
      <c r="A21">
        <f t="shared" si="5"/>
        <v>19</v>
      </c>
      <c r="B21" t="s">
        <v>35</v>
      </c>
      <c r="C21" s="5"/>
      <c r="D21" s="5"/>
      <c r="E21" s="5"/>
      <c r="F21" s="5"/>
      <c r="G21" s="5"/>
      <c r="H21" s="5"/>
      <c r="I21" s="5"/>
      <c r="J21" s="5"/>
      <c r="K21" s="5"/>
      <c r="L21" s="12">
        <f t="shared" si="0"/>
        <v>0</v>
      </c>
      <c r="M21" s="5"/>
      <c r="N21" s="5"/>
      <c r="O21" s="5"/>
      <c r="P21" s="5"/>
      <c r="Q21" s="5"/>
      <c r="R21" s="5"/>
      <c r="S21" s="5"/>
      <c r="T21" s="5"/>
      <c r="U21" s="5"/>
      <c r="V21" s="12">
        <f>SUM(M21:U21)</f>
        <v>0</v>
      </c>
      <c r="W21" s="12">
        <f>+L21+V21</f>
        <v>0</v>
      </c>
      <c r="X21" s="5">
        <v>-61.25</v>
      </c>
      <c r="Y21" s="5">
        <f t="shared" si="3"/>
        <v>61.25</v>
      </c>
      <c r="Z21" s="14">
        <f>+Y21+'2021 day 2'!Z21</f>
        <v>118.5</v>
      </c>
      <c r="AA21" s="5">
        <f t="shared" si="4"/>
        <v>-61.25</v>
      </c>
    </row>
    <row r="22" spans="1:29" x14ac:dyDescent="0.3">
      <c r="A22">
        <f t="shared" si="5"/>
        <v>20</v>
      </c>
      <c r="B22" t="s">
        <v>37</v>
      </c>
      <c r="C22" s="5"/>
      <c r="D22" s="5"/>
      <c r="E22" s="5"/>
      <c r="F22" s="5"/>
      <c r="G22" s="5"/>
      <c r="H22" s="5"/>
      <c r="I22" s="5"/>
      <c r="J22" s="5"/>
      <c r="K22" s="5"/>
      <c r="L22" s="12">
        <f t="shared" si="0"/>
        <v>0</v>
      </c>
      <c r="M22" s="5"/>
      <c r="N22" s="5"/>
      <c r="O22" s="5"/>
      <c r="P22" s="5"/>
      <c r="Q22" s="5"/>
      <c r="R22" s="5"/>
      <c r="S22" s="5"/>
      <c r="T22" s="5"/>
      <c r="U22" s="5"/>
      <c r="V22" s="12">
        <f>SUM(M22:U22)</f>
        <v>0</v>
      </c>
      <c r="W22" s="12">
        <f>+L22+V22</f>
        <v>0</v>
      </c>
      <c r="X22" s="5">
        <v>31.5</v>
      </c>
      <c r="Y22" s="5">
        <f t="shared" si="3"/>
        <v>-31.5</v>
      </c>
      <c r="Z22" s="14">
        <f>+Y22+'2021 day 2'!Z22</f>
        <v>124.5</v>
      </c>
      <c r="AA22" s="5">
        <f t="shared" si="4"/>
        <v>-61.25</v>
      </c>
    </row>
    <row r="23" spans="1:29" x14ac:dyDescent="0.3">
      <c r="A23">
        <f t="shared" si="5"/>
        <v>21</v>
      </c>
      <c r="B23" t="s">
        <v>28</v>
      </c>
      <c r="C23" s="5">
        <v>4</v>
      </c>
      <c r="D23" s="5">
        <v>5</v>
      </c>
      <c r="E23" s="5">
        <v>5</v>
      </c>
      <c r="F23" s="5">
        <v>7</v>
      </c>
      <c r="G23" s="5">
        <v>3</v>
      </c>
      <c r="H23" s="5">
        <v>4</v>
      </c>
      <c r="I23" s="5">
        <v>7</v>
      </c>
      <c r="J23" s="5">
        <v>6</v>
      </c>
      <c r="K23" s="5">
        <v>5</v>
      </c>
      <c r="L23" s="12">
        <f t="shared" si="0"/>
        <v>46</v>
      </c>
      <c r="M23" s="5">
        <v>6</v>
      </c>
      <c r="N23" s="5">
        <v>4</v>
      </c>
      <c r="O23" s="5">
        <v>7</v>
      </c>
      <c r="P23" s="5">
        <v>7</v>
      </c>
      <c r="Q23" s="5">
        <v>4</v>
      </c>
      <c r="R23" s="5">
        <v>3</v>
      </c>
      <c r="S23" s="5">
        <v>6</v>
      </c>
      <c r="T23" s="5">
        <v>7</v>
      </c>
      <c r="U23" s="5">
        <v>5</v>
      </c>
      <c r="V23" s="12">
        <f t="shared" si="6"/>
        <v>49</v>
      </c>
      <c r="W23" s="12">
        <f t="shared" si="2"/>
        <v>95</v>
      </c>
      <c r="X23" s="5">
        <v>26.25</v>
      </c>
      <c r="Y23" s="5">
        <f t="shared" si="3"/>
        <v>68.75</v>
      </c>
      <c r="Z23" s="14">
        <f>+Y23+'2021 day 2'!Z23</f>
        <v>212.625</v>
      </c>
      <c r="AA23" s="5">
        <f t="shared" si="4"/>
        <v>21.875</v>
      </c>
    </row>
    <row r="24" spans="1:29" x14ac:dyDescent="0.3">
      <c r="A24">
        <f t="shared" si="5"/>
        <v>22</v>
      </c>
      <c r="B24" t="s">
        <v>29</v>
      </c>
      <c r="C24" s="5">
        <v>5</v>
      </c>
      <c r="D24" s="5">
        <v>4</v>
      </c>
      <c r="E24" s="5">
        <v>5</v>
      </c>
      <c r="F24" s="5">
        <v>7</v>
      </c>
      <c r="G24" s="5">
        <v>4</v>
      </c>
      <c r="H24" s="5">
        <v>4</v>
      </c>
      <c r="I24" s="5">
        <v>7</v>
      </c>
      <c r="J24" s="5">
        <v>5</v>
      </c>
      <c r="K24" s="5">
        <v>5</v>
      </c>
      <c r="L24" s="12">
        <f t="shared" si="0"/>
        <v>46</v>
      </c>
      <c r="M24" s="5">
        <v>4</v>
      </c>
      <c r="N24" s="5">
        <v>5</v>
      </c>
      <c r="O24" s="5">
        <v>5</v>
      </c>
      <c r="P24" s="5">
        <v>6</v>
      </c>
      <c r="Q24" s="5">
        <v>4</v>
      </c>
      <c r="R24" s="5">
        <v>4</v>
      </c>
      <c r="S24" s="5">
        <v>6</v>
      </c>
      <c r="T24" s="5">
        <v>5</v>
      </c>
      <c r="U24" s="5">
        <v>5</v>
      </c>
      <c r="V24" s="12">
        <f t="shared" si="6"/>
        <v>44</v>
      </c>
      <c r="W24" s="12">
        <f t="shared" si="2"/>
        <v>90</v>
      </c>
      <c r="X24" s="5">
        <v>19.25</v>
      </c>
      <c r="Y24" s="5">
        <f t="shared" si="3"/>
        <v>70.75</v>
      </c>
      <c r="Z24" s="14">
        <f>+Y24+'2021 day 2'!Z24</f>
        <v>211.875</v>
      </c>
      <c r="AA24" s="5">
        <f t="shared" si="4"/>
        <v>17.5</v>
      </c>
    </row>
    <row r="25" spans="1:29" x14ac:dyDescent="0.3">
      <c r="B25" t="s">
        <v>13</v>
      </c>
      <c r="C25" s="5">
        <v>11</v>
      </c>
      <c r="D25" s="5">
        <v>17</v>
      </c>
      <c r="E25" s="5">
        <v>15</v>
      </c>
      <c r="F25" s="5">
        <v>7</v>
      </c>
      <c r="G25" s="5">
        <v>3</v>
      </c>
      <c r="H25" s="5">
        <v>9</v>
      </c>
      <c r="I25" s="5">
        <v>1</v>
      </c>
      <c r="J25" s="5">
        <v>13</v>
      </c>
      <c r="K25" s="5">
        <v>5</v>
      </c>
      <c r="L25" s="12"/>
      <c r="M25" s="5">
        <v>12</v>
      </c>
      <c r="N25" s="5">
        <v>18</v>
      </c>
      <c r="O25" s="5">
        <v>16</v>
      </c>
      <c r="P25" s="5">
        <v>8</v>
      </c>
      <c r="Q25" s="5">
        <v>4</v>
      </c>
      <c r="R25" s="5">
        <v>10</v>
      </c>
      <c r="S25" s="5">
        <v>2</v>
      </c>
      <c r="T25" s="5">
        <v>14</v>
      </c>
      <c r="U25" s="5">
        <v>6</v>
      </c>
      <c r="V25" s="12"/>
      <c r="W25" s="12"/>
    </row>
    <row r="26" spans="1:29" x14ac:dyDescent="0.3">
      <c r="L26" s="6"/>
      <c r="V26" s="6"/>
      <c r="W26" s="6"/>
    </row>
    <row r="27" spans="1:29" x14ac:dyDescent="0.3">
      <c r="B27" t="s">
        <v>26</v>
      </c>
      <c r="L27" s="6"/>
      <c r="V27" s="6"/>
      <c r="W27" s="6"/>
    </row>
    <row r="28" spans="1:29" x14ac:dyDescent="0.3">
      <c r="A28">
        <v>1</v>
      </c>
      <c r="B28" t="str">
        <f>+B3</f>
        <v>Colin Sullivan</v>
      </c>
      <c r="C28" s="14">
        <f>+C3-2</f>
        <v>3</v>
      </c>
      <c r="D28" s="14">
        <f>+D3-1</f>
        <v>3</v>
      </c>
      <c r="E28" s="14">
        <f>+E3-1</f>
        <v>4</v>
      </c>
      <c r="F28" s="14">
        <f>+F3-2</f>
        <v>4</v>
      </c>
      <c r="G28" s="14">
        <f>+G3-2</f>
        <v>2</v>
      </c>
      <c r="H28" s="14">
        <f>+H3-2</f>
        <v>2</v>
      </c>
      <c r="I28" s="14">
        <f>+I3-2</f>
        <v>5</v>
      </c>
      <c r="J28" s="14">
        <f>+J3-1</f>
        <v>4</v>
      </c>
      <c r="K28" s="14">
        <f>+K3-2</f>
        <v>3</v>
      </c>
      <c r="L28" s="12">
        <f t="shared" ref="L28" si="7">SUM(C28:K28)</f>
        <v>30</v>
      </c>
      <c r="M28" s="14">
        <f>+M3-2</f>
        <v>4</v>
      </c>
      <c r="N28" s="14">
        <f>+N3-1</f>
        <v>5</v>
      </c>
      <c r="O28" s="14">
        <f>+O3-1</f>
        <v>6</v>
      </c>
      <c r="P28" s="14">
        <f>+P3-2</f>
        <v>3</v>
      </c>
      <c r="Q28" s="14">
        <f>+Q3-2</f>
        <v>1</v>
      </c>
      <c r="R28" s="14">
        <f>+R3-2</f>
        <v>2</v>
      </c>
      <c r="S28" s="14">
        <f>+S3-2</f>
        <v>4</v>
      </c>
      <c r="T28" s="14">
        <f>+T3-1</f>
        <v>4</v>
      </c>
      <c r="U28" s="14">
        <f>+U3-2</f>
        <v>2</v>
      </c>
      <c r="V28" s="12">
        <f>SUM(M28:U28)</f>
        <v>31</v>
      </c>
      <c r="W28" s="12">
        <f>+V28+L28</f>
        <v>61</v>
      </c>
      <c r="X28" s="4">
        <f>(0.5*6)-(0.5*6)</f>
        <v>0</v>
      </c>
      <c r="Y28" s="4">
        <f>(0.5*4)-(0.5*10)</f>
        <v>-3</v>
      </c>
      <c r="Z28" s="18">
        <f>(1*5)-(1*9)</f>
        <v>-4</v>
      </c>
      <c r="AA28" s="20">
        <f t="shared" ref="AA28:AA49" si="8">SUM(X28:Z28)</f>
        <v>-7</v>
      </c>
      <c r="AB28" s="4">
        <v>-2.6</v>
      </c>
      <c r="AC28" s="20">
        <f>SUM(AA28:AB28)</f>
        <v>-9.6</v>
      </c>
    </row>
    <row r="29" spans="1:29" x14ac:dyDescent="0.3">
      <c r="A29">
        <f>+A28+1</f>
        <v>2</v>
      </c>
      <c r="B29" t="str">
        <f t="shared" ref="B29:B49" si="9">+B4</f>
        <v>Bernie Sullivan</v>
      </c>
      <c r="C29" s="14">
        <f>+C4-1</f>
        <v>3</v>
      </c>
      <c r="D29" s="14">
        <f>+D4</f>
        <v>4</v>
      </c>
      <c r="E29" s="14">
        <f>+E4-1</f>
        <v>5</v>
      </c>
      <c r="F29" s="14">
        <f>+F4-1</f>
        <v>6</v>
      </c>
      <c r="G29" s="14">
        <f>+G4-1</f>
        <v>2</v>
      </c>
      <c r="H29" s="14">
        <f>+H4-1</f>
        <v>3</v>
      </c>
      <c r="I29" s="14">
        <f>+I4-1</f>
        <v>4</v>
      </c>
      <c r="J29" s="14">
        <f>+J4-1</f>
        <v>4</v>
      </c>
      <c r="K29" s="14">
        <f>+K4-1</f>
        <v>4</v>
      </c>
      <c r="L29" s="12">
        <f>SUM(C29:K29)</f>
        <v>35</v>
      </c>
      <c r="M29" s="14">
        <f>+M4-1</f>
        <v>3</v>
      </c>
      <c r="N29" s="14">
        <f>+N4</f>
        <v>5</v>
      </c>
      <c r="O29" s="14">
        <f>+O4</f>
        <v>6</v>
      </c>
      <c r="P29" s="14">
        <f>+P4-1</f>
        <v>6</v>
      </c>
      <c r="Q29" s="14">
        <f>+Q4-1</f>
        <v>2</v>
      </c>
      <c r="R29" s="14">
        <f>+R4-1</f>
        <v>3</v>
      </c>
      <c r="S29" s="14">
        <f>+S4-1</f>
        <v>5</v>
      </c>
      <c r="T29" s="14">
        <f>+T4-1</f>
        <v>4</v>
      </c>
      <c r="U29" s="14">
        <f>+U4-1</f>
        <v>4</v>
      </c>
      <c r="V29" s="12">
        <f t="shared" ref="V29:V49" si="10">SUM(M29:U29)</f>
        <v>38</v>
      </c>
      <c r="W29" s="9">
        <f t="shared" ref="W29:W49" si="11">+V29+L29</f>
        <v>73</v>
      </c>
      <c r="X29" s="4">
        <f>(0.5*6)-(0.5*6)</f>
        <v>0</v>
      </c>
      <c r="Y29" s="4">
        <f>(0.5*4)-(0.5*10)</f>
        <v>-3</v>
      </c>
      <c r="Z29" s="18">
        <f>(1*5)-(1*9)</f>
        <v>-4</v>
      </c>
      <c r="AA29" s="20">
        <f t="shared" si="8"/>
        <v>-7</v>
      </c>
      <c r="AB29" s="4">
        <v>-4.7</v>
      </c>
      <c r="AC29" s="20">
        <f t="shared" ref="AC29:AC49" si="12">SUM(AA29:AB29)</f>
        <v>-11.7</v>
      </c>
    </row>
    <row r="30" spans="1:29" x14ac:dyDescent="0.3">
      <c r="A30">
        <f t="shared" ref="A30:A49" si="13">+A29+1</f>
        <v>3</v>
      </c>
      <c r="B30" t="str">
        <f t="shared" si="9"/>
        <v>Joe McCardel</v>
      </c>
      <c r="C30" s="14">
        <f>+C5-2</f>
        <v>2</v>
      </c>
      <c r="D30" s="14">
        <f>+D5-1</f>
        <v>6</v>
      </c>
      <c r="E30" s="14">
        <f>+E5-1</f>
        <v>5</v>
      </c>
      <c r="F30" s="14">
        <f t="shared" ref="F30:K30" si="14">+F5-2</f>
        <v>4</v>
      </c>
      <c r="G30" s="14">
        <f t="shared" si="14"/>
        <v>7</v>
      </c>
      <c r="H30" s="14">
        <f t="shared" si="14"/>
        <v>2</v>
      </c>
      <c r="I30" s="14">
        <f t="shared" si="14"/>
        <v>5</v>
      </c>
      <c r="J30" s="14">
        <f t="shared" si="14"/>
        <v>3</v>
      </c>
      <c r="K30" s="14">
        <f t="shared" si="14"/>
        <v>2</v>
      </c>
      <c r="L30" s="12">
        <f t="shared" ref="L30" si="15">SUM(C30:K30)</f>
        <v>36</v>
      </c>
      <c r="M30" s="14">
        <f>+M5-2</f>
        <v>3</v>
      </c>
      <c r="N30" s="14">
        <f>+N5-1</f>
        <v>6</v>
      </c>
      <c r="O30" s="14">
        <f>+O5-1</f>
        <v>6</v>
      </c>
      <c r="P30" s="14">
        <f>+P5-2</f>
        <v>3</v>
      </c>
      <c r="Q30" s="14">
        <f>+Q5-2</f>
        <v>0</v>
      </c>
      <c r="R30" s="14">
        <f>+R5-2</f>
        <v>1</v>
      </c>
      <c r="S30" s="14">
        <f>+S5-2</f>
        <v>6</v>
      </c>
      <c r="T30" s="14">
        <f>+T5-1</f>
        <v>6</v>
      </c>
      <c r="U30" s="14">
        <f>+U5-2</f>
        <v>3</v>
      </c>
      <c r="V30" s="12">
        <f t="shared" si="10"/>
        <v>34</v>
      </c>
      <c r="W30" s="12">
        <f t="shared" si="11"/>
        <v>70</v>
      </c>
      <c r="X30" s="4">
        <f>(0.5*2)-(0.5*12)</f>
        <v>-5</v>
      </c>
      <c r="Y30" s="4">
        <f>(0.5*13)-(0.5*1)</f>
        <v>6</v>
      </c>
      <c r="Z30" s="18">
        <f>(1*8)-(1*7)</f>
        <v>1</v>
      </c>
      <c r="AA30" s="20">
        <f t="shared" si="8"/>
        <v>2</v>
      </c>
      <c r="AB30" s="4">
        <v>-0.3</v>
      </c>
      <c r="AC30" s="20">
        <f t="shared" si="12"/>
        <v>1.7</v>
      </c>
    </row>
    <row r="31" spans="1:29" x14ac:dyDescent="0.3">
      <c r="A31">
        <f t="shared" si="13"/>
        <v>4</v>
      </c>
      <c r="B31" t="str">
        <f t="shared" si="9"/>
        <v>Dave Brauer</v>
      </c>
      <c r="C31" s="14">
        <f>+C6-1</f>
        <v>4</v>
      </c>
      <c r="D31" s="14">
        <f>+D6</f>
        <v>5</v>
      </c>
      <c r="E31" s="14">
        <f>+E6-1</f>
        <v>5</v>
      </c>
      <c r="F31" s="14">
        <f t="shared" ref="F31:K31" si="16">+F6-1</f>
        <v>6</v>
      </c>
      <c r="G31" s="14">
        <f t="shared" si="16"/>
        <v>2</v>
      </c>
      <c r="H31" s="14">
        <f t="shared" si="16"/>
        <v>3</v>
      </c>
      <c r="I31" s="14">
        <f t="shared" si="16"/>
        <v>4</v>
      </c>
      <c r="J31" s="14">
        <f t="shared" si="16"/>
        <v>6</v>
      </c>
      <c r="K31" s="14">
        <f t="shared" si="16"/>
        <v>6</v>
      </c>
      <c r="L31" s="12">
        <f>SUM(C31:K31)</f>
        <v>41</v>
      </c>
      <c r="M31" s="14">
        <f>+M6-1</f>
        <v>4</v>
      </c>
      <c r="N31" s="14">
        <f>+N6</f>
        <v>5</v>
      </c>
      <c r="O31" s="14">
        <f>+O6-1</f>
        <v>4</v>
      </c>
      <c r="P31" s="14">
        <f t="shared" ref="P31:U31" si="17">+P6-1</f>
        <v>6</v>
      </c>
      <c r="Q31" s="14">
        <f t="shared" si="17"/>
        <v>3</v>
      </c>
      <c r="R31" s="14">
        <f t="shared" si="17"/>
        <v>3</v>
      </c>
      <c r="S31" s="14">
        <f t="shared" si="17"/>
        <v>5</v>
      </c>
      <c r="T31" s="14">
        <f t="shared" si="17"/>
        <v>5</v>
      </c>
      <c r="U31" s="14">
        <f t="shared" si="17"/>
        <v>5</v>
      </c>
      <c r="V31" s="12">
        <f t="shared" si="10"/>
        <v>40</v>
      </c>
      <c r="W31" s="12">
        <f t="shared" si="11"/>
        <v>81</v>
      </c>
      <c r="X31" s="4">
        <f>(0.5*6)-(0.5*6)</f>
        <v>0</v>
      </c>
      <c r="Y31" s="4">
        <f>(0.5*13)-(0.5*1)</f>
        <v>6</v>
      </c>
      <c r="Z31" s="18">
        <f>(1*11)-(1*3)</f>
        <v>8</v>
      </c>
      <c r="AA31" s="20">
        <f t="shared" si="8"/>
        <v>14</v>
      </c>
      <c r="AB31" s="4">
        <v>4.9000000000000004</v>
      </c>
      <c r="AC31" s="20">
        <f t="shared" si="12"/>
        <v>18.899999999999999</v>
      </c>
    </row>
    <row r="32" spans="1:29" x14ac:dyDescent="0.3">
      <c r="A32">
        <f t="shared" si="13"/>
        <v>5</v>
      </c>
      <c r="B32" t="str">
        <f t="shared" si="9"/>
        <v>John Sullivan</v>
      </c>
      <c r="C32" s="14">
        <f t="shared" ref="C32:K33" si="18">+C7-1</f>
        <v>4</v>
      </c>
      <c r="D32" s="14">
        <f t="shared" si="18"/>
        <v>4</v>
      </c>
      <c r="E32" s="14">
        <f t="shared" si="18"/>
        <v>4</v>
      </c>
      <c r="F32" s="14">
        <f t="shared" si="18"/>
        <v>5</v>
      </c>
      <c r="G32" s="14">
        <f>+G7-2</f>
        <v>2</v>
      </c>
      <c r="H32" s="14">
        <f>+H7-1</f>
        <v>4</v>
      </c>
      <c r="I32" s="14">
        <f>+I7-2</f>
        <v>4</v>
      </c>
      <c r="J32" s="14">
        <f>+J7-1</f>
        <v>5</v>
      </c>
      <c r="K32" s="14">
        <f>+K7-1</f>
        <v>3</v>
      </c>
      <c r="L32" s="12">
        <f t="shared" ref="L32:L38" si="19">SUM(C32:K32)</f>
        <v>35</v>
      </c>
      <c r="M32" s="14">
        <f t="shared" ref="M32:R33" si="20">+M7-1</f>
        <v>4</v>
      </c>
      <c r="N32" s="14">
        <f t="shared" si="20"/>
        <v>3</v>
      </c>
      <c r="O32" s="14">
        <f t="shared" si="20"/>
        <v>5</v>
      </c>
      <c r="P32" s="14">
        <f t="shared" si="20"/>
        <v>3</v>
      </c>
      <c r="Q32" s="14">
        <f>+Q7-2</f>
        <v>2</v>
      </c>
      <c r="R32" s="14">
        <f t="shared" si="20"/>
        <v>5</v>
      </c>
      <c r="S32" s="14">
        <f>+S7-2</f>
        <v>2</v>
      </c>
      <c r="T32" s="14">
        <f>+T7-1</f>
        <v>4</v>
      </c>
      <c r="U32" s="14">
        <f>+U7-1</f>
        <v>3</v>
      </c>
      <c r="V32" s="12">
        <f t="shared" si="10"/>
        <v>31</v>
      </c>
      <c r="W32" s="12">
        <f t="shared" si="11"/>
        <v>66</v>
      </c>
      <c r="X32" s="4">
        <f>(0.5*6)-(0.5*6)</f>
        <v>0</v>
      </c>
      <c r="Y32" s="4">
        <f>(0.5*12)-(0.5*3)</f>
        <v>4.5</v>
      </c>
      <c r="Z32" s="18">
        <f>(1*10)-(1*5)</f>
        <v>5</v>
      </c>
      <c r="AA32" s="20">
        <f t="shared" si="8"/>
        <v>9.5</v>
      </c>
      <c r="AB32" s="4">
        <v>4.9000000000000004</v>
      </c>
      <c r="AC32" s="20">
        <f t="shared" si="12"/>
        <v>14.4</v>
      </c>
    </row>
    <row r="33" spans="1:29" x14ac:dyDescent="0.3">
      <c r="A33">
        <f t="shared" si="13"/>
        <v>6</v>
      </c>
      <c r="B33" t="str">
        <f t="shared" si="9"/>
        <v>Ralph</v>
      </c>
      <c r="C33" s="14">
        <f>+C8-1</f>
        <v>5</v>
      </c>
      <c r="D33" s="14">
        <f>+D8</f>
        <v>5</v>
      </c>
      <c r="E33" s="14">
        <f>+E8</f>
        <v>5</v>
      </c>
      <c r="F33" s="14">
        <f t="shared" si="18"/>
        <v>5</v>
      </c>
      <c r="G33" s="14">
        <f t="shared" si="18"/>
        <v>3</v>
      </c>
      <c r="H33" s="14">
        <f t="shared" si="18"/>
        <v>5</v>
      </c>
      <c r="I33" s="14">
        <f t="shared" si="18"/>
        <v>3</v>
      </c>
      <c r="J33" s="14">
        <f>+J8</f>
        <v>6</v>
      </c>
      <c r="K33" s="14">
        <f t="shared" si="18"/>
        <v>3</v>
      </c>
      <c r="L33" s="12">
        <f t="shared" si="19"/>
        <v>40</v>
      </c>
      <c r="M33" s="14">
        <f>+M8</f>
        <v>6</v>
      </c>
      <c r="N33" s="14">
        <f>+N8</f>
        <v>5</v>
      </c>
      <c r="O33" s="14">
        <f>+O8</f>
        <v>6</v>
      </c>
      <c r="P33" s="14">
        <f t="shared" si="20"/>
        <v>5</v>
      </c>
      <c r="Q33" s="14">
        <f t="shared" si="20"/>
        <v>4</v>
      </c>
      <c r="R33" s="14">
        <f t="shared" si="20"/>
        <v>2</v>
      </c>
      <c r="S33" s="14">
        <f>+S8-1</f>
        <v>4</v>
      </c>
      <c r="T33" s="14">
        <f>+T8</f>
        <v>5</v>
      </c>
      <c r="U33" s="14">
        <f>+U8-1</f>
        <v>5</v>
      </c>
      <c r="V33" s="12">
        <f t="shared" si="10"/>
        <v>42</v>
      </c>
      <c r="W33" s="11">
        <f>+V33+L33</f>
        <v>82</v>
      </c>
      <c r="X33" s="4">
        <f>(0.5*12)-(0.5*3)</f>
        <v>4.5</v>
      </c>
      <c r="Y33" s="18">
        <f>15*0.5</f>
        <v>7.5</v>
      </c>
      <c r="Z33" s="18">
        <v>15</v>
      </c>
      <c r="AA33" s="20">
        <f t="shared" si="8"/>
        <v>27</v>
      </c>
      <c r="AB33" s="4">
        <v>11.8</v>
      </c>
      <c r="AC33" s="20">
        <f t="shared" si="12"/>
        <v>38.799999999999997</v>
      </c>
    </row>
    <row r="34" spans="1:29" x14ac:dyDescent="0.3">
      <c r="A34">
        <f t="shared" si="13"/>
        <v>7</v>
      </c>
      <c r="B34" t="str">
        <f t="shared" si="9"/>
        <v>Leo</v>
      </c>
      <c r="C34" s="14">
        <f>+C9-3</f>
        <v>3</v>
      </c>
      <c r="D34" s="14">
        <f>+D9-3</f>
        <v>4</v>
      </c>
      <c r="E34" s="14">
        <f>+E9-3</f>
        <v>2</v>
      </c>
      <c r="F34" s="14">
        <f>+F9-3</f>
        <v>7</v>
      </c>
      <c r="G34" s="14">
        <f>+G9-4</f>
        <v>1</v>
      </c>
      <c r="H34" s="14">
        <f>+H9-3</f>
        <v>3</v>
      </c>
      <c r="I34" s="14">
        <f>+I9-4</f>
        <v>2</v>
      </c>
      <c r="J34" s="14">
        <f>+J9-3</f>
        <v>4</v>
      </c>
      <c r="K34" s="14">
        <f>+K9-3</f>
        <v>1</v>
      </c>
      <c r="L34" s="12">
        <f t="shared" si="19"/>
        <v>27</v>
      </c>
      <c r="M34" s="14">
        <f t="shared" ref="M34:R34" si="21">+M9-3</f>
        <v>3</v>
      </c>
      <c r="N34" s="14">
        <f t="shared" si="21"/>
        <v>6</v>
      </c>
      <c r="O34" s="14">
        <f t="shared" si="21"/>
        <v>3</v>
      </c>
      <c r="P34" s="14">
        <f t="shared" si="21"/>
        <v>7</v>
      </c>
      <c r="Q34" s="14">
        <f t="shared" si="21"/>
        <v>0</v>
      </c>
      <c r="R34" s="14">
        <f t="shared" si="21"/>
        <v>1</v>
      </c>
      <c r="S34" s="14">
        <f>+S9-4</f>
        <v>3</v>
      </c>
      <c r="T34" s="14">
        <f>+T9-3</f>
        <v>4</v>
      </c>
      <c r="U34" s="14">
        <f>+U9-3</f>
        <v>3</v>
      </c>
      <c r="V34" s="12">
        <f t="shared" si="10"/>
        <v>30</v>
      </c>
      <c r="W34" s="12">
        <f>+V34+L34</f>
        <v>57</v>
      </c>
      <c r="X34" s="4">
        <f>15*0.5</f>
        <v>7.5</v>
      </c>
      <c r="Y34" s="18">
        <f>(0.5*3)-(0.5*12)</f>
        <v>-4.5</v>
      </c>
      <c r="Z34" s="18">
        <f>(1*11)-(1*3)</f>
        <v>8</v>
      </c>
      <c r="AA34" s="20">
        <f t="shared" si="8"/>
        <v>11</v>
      </c>
      <c r="AB34" s="4">
        <v>-0.3</v>
      </c>
      <c r="AC34" s="20">
        <f t="shared" si="12"/>
        <v>10.7</v>
      </c>
    </row>
    <row r="35" spans="1:29" x14ac:dyDescent="0.3">
      <c r="A35">
        <f t="shared" si="13"/>
        <v>8</v>
      </c>
      <c r="B35" t="str">
        <f t="shared" si="9"/>
        <v>Matt Lawrence</v>
      </c>
      <c r="C35" s="14">
        <f t="shared" ref="C35:U36" si="22">+C10-1</f>
        <v>-1</v>
      </c>
      <c r="D35" s="14">
        <f t="shared" si="22"/>
        <v>-1</v>
      </c>
      <c r="E35" s="14">
        <f t="shared" si="22"/>
        <v>-1</v>
      </c>
      <c r="F35" s="14">
        <f t="shared" si="22"/>
        <v>-1</v>
      </c>
      <c r="G35" s="14">
        <f t="shared" si="22"/>
        <v>-1</v>
      </c>
      <c r="H35" s="14">
        <f t="shared" si="22"/>
        <v>-1</v>
      </c>
      <c r="I35" s="14">
        <f t="shared" si="22"/>
        <v>-1</v>
      </c>
      <c r="J35" s="14">
        <f t="shared" si="22"/>
        <v>-1</v>
      </c>
      <c r="K35" s="14">
        <f t="shared" si="22"/>
        <v>-1</v>
      </c>
      <c r="L35" s="12">
        <f t="shared" si="19"/>
        <v>-9</v>
      </c>
      <c r="M35" s="14">
        <f t="shared" si="22"/>
        <v>-1</v>
      </c>
      <c r="N35" s="14">
        <f t="shared" si="22"/>
        <v>-1</v>
      </c>
      <c r="O35" s="14">
        <f t="shared" si="22"/>
        <v>-1</v>
      </c>
      <c r="P35" s="14">
        <f t="shared" si="22"/>
        <v>-1</v>
      </c>
      <c r="Q35" s="14">
        <f t="shared" si="22"/>
        <v>-1</v>
      </c>
      <c r="R35" s="14">
        <f t="shared" si="22"/>
        <v>-1</v>
      </c>
      <c r="S35" s="14">
        <f t="shared" si="22"/>
        <v>-1</v>
      </c>
      <c r="T35" s="14">
        <f t="shared" si="22"/>
        <v>-1</v>
      </c>
      <c r="U35" s="14">
        <f t="shared" si="22"/>
        <v>-1</v>
      </c>
      <c r="V35" s="12">
        <f t="shared" si="10"/>
        <v>-9</v>
      </c>
      <c r="W35" s="12">
        <f t="shared" si="11"/>
        <v>-18</v>
      </c>
      <c r="X35" s="4">
        <f>(0.5*13)-(0.5*2)</f>
        <v>5.5</v>
      </c>
      <c r="Y35" s="18">
        <f>(0.5*10)-(0.5*4)</f>
        <v>3</v>
      </c>
      <c r="Z35" s="18">
        <f>(1*13)-(1*2)</f>
        <v>11</v>
      </c>
      <c r="AA35" s="20">
        <f t="shared" si="8"/>
        <v>19.5</v>
      </c>
      <c r="AB35" s="4">
        <v>7.3</v>
      </c>
      <c r="AC35" s="20">
        <f t="shared" si="12"/>
        <v>26.8</v>
      </c>
    </row>
    <row r="36" spans="1:29" x14ac:dyDescent="0.3">
      <c r="A36">
        <f t="shared" si="13"/>
        <v>9</v>
      </c>
      <c r="B36" t="str">
        <f t="shared" si="9"/>
        <v>Jerry Flynn</v>
      </c>
      <c r="C36" s="14">
        <f t="shared" si="22"/>
        <v>-1</v>
      </c>
      <c r="D36" s="14">
        <f t="shared" si="22"/>
        <v>-1</v>
      </c>
      <c r="E36" s="14">
        <f t="shared" si="22"/>
        <v>-1</v>
      </c>
      <c r="F36" s="14">
        <f t="shared" si="22"/>
        <v>-1</v>
      </c>
      <c r="G36" s="14">
        <f t="shared" si="22"/>
        <v>-1</v>
      </c>
      <c r="H36" s="14">
        <f t="shared" si="22"/>
        <v>-1</v>
      </c>
      <c r="I36" s="14">
        <f t="shared" si="22"/>
        <v>-1</v>
      </c>
      <c r="J36" s="14">
        <f t="shared" si="22"/>
        <v>-1</v>
      </c>
      <c r="K36" s="14">
        <f t="shared" si="22"/>
        <v>-1</v>
      </c>
      <c r="L36" s="12">
        <f t="shared" si="19"/>
        <v>-9</v>
      </c>
      <c r="M36" s="14">
        <f t="shared" si="22"/>
        <v>-1</v>
      </c>
      <c r="N36" s="14">
        <f>+N11</f>
        <v>0</v>
      </c>
      <c r="O36" s="14">
        <f t="shared" si="22"/>
        <v>-1</v>
      </c>
      <c r="P36" s="14">
        <f t="shared" si="22"/>
        <v>-1</v>
      </c>
      <c r="Q36" s="14">
        <f t="shared" si="22"/>
        <v>-1</v>
      </c>
      <c r="R36" s="14">
        <f t="shared" si="22"/>
        <v>-1</v>
      </c>
      <c r="S36" s="14">
        <f t="shared" si="22"/>
        <v>-1</v>
      </c>
      <c r="T36" s="14">
        <f t="shared" si="22"/>
        <v>-1</v>
      </c>
      <c r="U36" s="14">
        <f t="shared" si="22"/>
        <v>-1</v>
      </c>
      <c r="V36" s="12">
        <f t="shared" si="10"/>
        <v>-8</v>
      </c>
      <c r="W36" s="12">
        <f t="shared" si="11"/>
        <v>-17</v>
      </c>
      <c r="X36" s="4">
        <f>(0.5*4)-(0.5*11)</f>
        <v>-3.5</v>
      </c>
      <c r="Y36" s="18">
        <f>(0.5*1)-(0.5*13)</f>
        <v>-6</v>
      </c>
      <c r="Z36" s="18">
        <f>(1*1)-(1*14)</f>
        <v>-13</v>
      </c>
      <c r="AA36" s="20">
        <f t="shared" si="8"/>
        <v>-22.5</v>
      </c>
      <c r="AB36" s="4">
        <v>-11.1</v>
      </c>
      <c r="AC36" s="20">
        <f t="shared" si="12"/>
        <v>-33.6</v>
      </c>
    </row>
    <row r="37" spans="1:29" x14ac:dyDescent="0.3">
      <c r="A37">
        <f t="shared" si="13"/>
        <v>10</v>
      </c>
      <c r="B37" t="str">
        <f t="shared" si="9"/>
        <v>Mike Flynn</v>
      </c>
      <c r="C37" s="14">
        <f>+C12</f>
        <v>5</v>
      </c>
      <c r="D37" s="14">
        <f t="shared" ref="D37:J37" si="23">+D12</f>
        <v>4</v>
      </c>
      <c r="E37" s="14">
        <f t="shared" si="23"/>
        <v>5</v>
      </c>
      <c r="F37" s="14">
        <f>+F12-1</f>
        <v>5</v>
      </c>
      <c r="G37" s="14">
        <f>+G12-1</f>
        <v>2</v>
      </c>
      <c r="H37" s="14">
        <f t="shared" si="23"/>
        <v>4</v>
      </c>
      <c r="I37" s="14">
        <f>+I12-1</f>
        <v>5</v>
      </c>
      <c r="J37" s="14">
        <f t="shared" si="23"/>
        <v>5</v>
      </c>
      <c r="K37" s="14">
        <f>+K12-1</f>
        <v>4</v>
      </c>
      <c r="L37" s="12">
        <f t="shared" si="19"/>
        <v>39</v>
      </c>
      <c r="M37" s="14">
        <f t="shared" ref="M37:T37" si="24">+M12</f>
        <v>5</v>
      </c>
      <c r="N37" s="14">
        <f t="shared" si="24"/>
        <v>4</v>
      </c>
      <c r="O37" s="14">
        <f t="shared" si="24"/>
        <v>5</v>
      </c>
      <c r="P37" s="14">
        <f t="shared" si="24"/>
        <v>7</v>
      </c>
      <c r="Q37" s="14">
        <f>+Q12-1</f>
        <v>3</v>
      </c>
      <c r="R37" s="14">
        <f t="shared" si="24"/>
        <v>4</v>
      </c>
      <c r="S37" s="14">
        <f>+S12-1</f>
        <v>5</v>
      </c>
      <c r="T37" s="14">
        <f t="shared" si="24"/>
        <v>5</v>
      </c>
      <c r="U37" s="14">
        <f>+U12-1</f>
        <v>5</v>
      </c>
      <c r="V37" s="12">
        <f t="shared" si="10"/>
        <v>43</v>
      </c>
      <c r="W37" s="19">
        <f t="shared" si="11"/>
        <v>82</v>
      </c>
      <c r="X37" s="4">
        <f>(0.5*11)-(0.5*4)</f>
        <v>3.5</v>
      </c>
      <c r="Y37" s="18">
        <f>(0.5*6)-(0.5*9)</f>
        <v>-1.5</v>
      </c>
      <c r="Z37" s="18">
        <f>(1*9)-(1*6)</f>
        <v>3</v>
      </c>
      <c r="AA37" s="20">
        <f t="shared" si="8"/>
        <v>5</v>
      </c>
      <c r="AB37" s="4">
        <v>-1.9</v>
      </c>
      <c r="AC37" s="20">
        <f t="shared" si="12"/>
        <v>3.1</v>
      </c>
    </row>
    <row r="38" spans="1:29" x14ac:dyDescent="0.3">
      <c r="A38">
        <f t="shared" si="13"/>
        <v>11</v>
      </c>
      <c r="B38" t="str">
        <f t="shared" si="9"/>
        <v>Sean Flynn</v>
      </c>
      <c r="C38" s="14">
        <f>+C13-1</f>
        <v>-1</v>
      </c>
      <c r="D38" s="14">
        <f>+D13</f>
        <v>0</v>
      </c>
      <c r="E38" s="14">
        <f>+E13</f>
        <v>0</v>
      </c>
      <c r="F38" s="14">
        <f t="shared" ref="F38:K38" si="25">+F13-1</f>
        <v>-1</v>
      </c>
      <c r="G38" s="14">
        <f t="shared" si="25"/>
        <v>-1</v>
      </c>
      <c r="H38" s="14">
        <f t="shared" si="25"/>
        <v>-1</v>
      </c>
      <c r="I38" s="14">
        <f t="shared" si="25"/>
        <v>-1</v>
      </c>
      <c r="J38" s="14">
        <f t="shared" si="25"/>
        <v>-1</v>
      </c>
      <c r="K38" s="14">
        <f t="shared" si="25"/>
        <v>-1</v>
      </c>
      <c r="L38" s="12">
        <f t="shared" si="19"/>
        <v>-7</v>
      </c>
      <c r="M38" s="14">
        <f>+M13-1</f>
        <v>-1</v>
      </c>
      <c r="N38" s="14">
        <f>+N13</f>
        <v>0</v>
      </c>
      <c r="O38" s="14">
        <f>+O13</f>
        <v>0</v>
      </c>
      <c r="P38" s="14">
        <f t="shared" ref="P38:R38" si="26">+P13-1</f>
        <v>-1</v>
      </c>
      <c r="Q38" s="14">
        <f t="shared" si="26"/>
        <v>-1</v>
      </c>
      <c r="R38" s="14">
        <f t="shared" si="26"/>
        <v>-1</v>
      </c>
      <c r="S38" s="14">
        <f>+S13-1</f>
        <v>-1</v>
      </c>
      <c r="T38" s="14">
        <f>+T13</f>
        <v>0</v>
      </c>
      <c r="U38" s="14">
        <f>+U13-1</f>
        <v>-1</v>
      </c>
      <c r="V38" s="12">
        <f t="shared" si="10"/>
        <v>-6</v>
      </c>
      <c r="W38" s="12">
        <f t="shared" si="11"/>
        <v>-13</v>
      </c>
      <c r="X38" s="4">
        <v>-7.5</v>
      </c>
      <c r="Y38" s="18">
        <v>-7.5</v>
      </c>
      <c r="Z38" s="4">
        <v>-15</v>
      </c>
      <c r="AA38" s="20">
        <f t="shared" si="8"/>
        <v>-30</v>
      </c>
      <c r="AB38" s="4">
        <v>-12</v>
      </c>
      <c r="AC38" s="20">
        <f t="shared" si="12"/>
        <v>-42</v>
      </c>
    </row>
    <row r="39" spans="1:29" x14ac:dyDescent="0.3">
      <c r="A39">
        <f t="shared" si="13"/>
        <v>12</v>
      </c>
      <c r="B39" t="str">
        <f t="shared" si="9"/>
        <v>Kevin Fitzgerald</v>
      </c>
      <c r="C39" s="14">
        <f t="shared" ref="C39:E40" si="27">+C14-1</f>
        <v>5</v>
      </c>
      <c r="D39" s="14">
        <f t="shared" si="27"/>
        <v>4</v>
      </c>
      <c r="E39" s="14">
        <f t="shared" si="27"/>
        <v>5</v>
      </c>
      <c r="F39" s="14">
        <f t="shared" ref="F39:K40" si="28">+F14-2</f>
        <v>4</v>
      </c>
      <c r="G39" s="14">
        <f t="shared" si="28"/>
        <v>2</v>
      </c>
      <c r="H39" s="14">
        <f>+H14-1</f>
        <v>4</v>
      </c>
      <c r="I39" s="14">
        <f t="shared" si="28"/>
        <v>4</v>
      </c>
      <c r="J39" s="14">
        <f>+J14-1</f>
        <v>3</v>
      </c>
      <c r="K39" s="14">
        <f t="shared" si="28"/>
        <v>3</v>
      </c>
      <c r="L39" s="12">
        <f>SUM(C39:K39)</f>
        <v>34</v>
      </c>
      <c r="M39" s="14">
        <f>+M14-1</f>
        <v>4</v>
      </c>
      <c r="N39" s="14">
        <f>+N14-1</f>
        <v>3</v>
      </c>
      <c r="O39" s="14">
        <f>+O14-1</f>
        <v>4</v>
      </c>
      <c r="P39" s="14">
        <f>+P14-1</f>
        <v>7</v>
      </c>
      <c r="Q39" s="14">
        <f>+Q14-2</f>
        <v>2</v>
      </c>
      <c r="R39" s="14">
        <f>+R14-1</f>
        <v>8</v>
      </c>
      <c r="S39" s="14">
        <f>+S14-2</f>
        <v>3</v>
      </c>
      <c r="T39" s="14">
        <f>+T14-1</f>
        <v>5</v>
      </c>
      <c r="U39" s="14">
        <f>+U14-2</f>
        <v>5</v>
      </c>
      <c r="V39" s="12">
        <f t="shared" si="10"/>
        <v>41</v>
      </c>
      <c r="W39" s="12">
        <f t="shared" si="11"/>
        <v>75</v>
      </c>
      <c r="X39" s="4">
        <f>14*0.5-0.5</f>
        <v>6.5</v>
      </c>
      <c r="Y39" s="18">
        <f>(0.5*10)-(0.5*4)</f>
        <v>3</v>
      </c>
      <c r="Z39" s="18">
        <f>(1*14)-(1*1)</f>
        <v>13</v>
      </c>
      <c r="AA39" s="20">
        <f t="shared" si="8"/>
        <v>22.5</v>
      </c>
      <c r="AB39" s="4">
        <v>12</v>
      </c>
      <c r="AC39" s="20">
        <f t="shared" si="12"/>
        <v>34.5</v>
      </c>
    </row>
    <row r="40" spans="1:29" x14ac:dyDescent="0.3">
      <c r="A40">
        <f t="shared" si="13"/>
        <v>13</v>
      </c>
      <c r="B40" t="str">
        <f t="shared" si="9"/>
        <v>Richard McGovern</v>
      </c>
      <c r="C40" s="14">
        <f t="shared" si="27"/>
        <v>4</v>
      </c>
      <c r="D40" s="14">
        <f t="shared" si="27"/>
        <v>4</v>
      </c>
      <c r="E40" s="14">
        <f t="shared" si="27"/>
        <v>4</v>
      </c>
      <c r="F40" s="14">
        <f t="shared" si="28"/>
        <v>5</v>
      </c>
      <c r="G40" s="14">
        <f t="shared" si="28"/>
        <v>2</v>
      </c>
      <c r="H40" s="14">
        <f>+H15-1</f>
        <v>2</v>
      </c>
      <c r="I40" s="14">
        <f t="shared" si="28"/>
        <v>4</v>
      </c>
      <c r="J40" s="14">
        <f>+J15-1</f>
        <v>5</v>
      </c>
      <c r="K40" s="14">
        <f t="shared" si="28"/>
        <v>4</v>
      </c>
      <c r="L40" s="12">
        <f>SUM(C40:K40)</f>
        <v>34</v>
      </c>
      <c r="M40" s="14">
        <f>+M15-1</f>
        <v>3</v>
      </c>
      <c r="N40" s="14">
        <f>+N15-1</f>
        <v>6</v>
      </c>
      <c r="O40" s="14">
        <f>+O15-1</f>
        <v>5</v>
      </c>
      <c r="P40" s="14">
        <f>+P15-1</f>
        <v>10</v>
      </c>
      <c r="Q40" s="14">
        <f>+Q15-2</f>
        <v>2</v>
      </c>
      <c r="R40" s="14">
        <f>+R15-1</f>
        <v>2</v>
      </c>
      <c r="S40" s="14">
        <f>+S15-2</f>
        <v>4</v>
      </c>
      <c r="T40" s="14">
        <f>+T15-1</f>
        <v>4</v>
      </c>
      <c r="U40" s="14">
        <f>+U15-2</f>
        <v>4</v>
      </c>
      <c r="V40" s="12">
        <f t="shared" si="10"/>
        <v>40</v>
      </c>
      <c r="W40" s="12">
        <f t="shared" si="11"/>
        <v>74</v>
      </c>
      <c r="X40" s="4">
        <f>(0.5*10)-(0.5*5)</f>
        <v>2.5</v>
      </c>
      <c r="Y40" s="18">
        <f>(0.5*1)-(0.5*13)</f>
        <v>-6</v>
      </c>
      <c r="Z40" s="18">
        <f>(1*4)-(1*11)</f>
        <v>-7</v>
      </c>
      <c r="AA40" s="20">
        <f t="shared" si="8"/>
        <v>-10.5</v>
      </c>
      <c r="AB40" s="4">
        <v>-1.5</v>
      </c>
      <c r="AC40" s="20">
        <f t="shared" si="12"/>
        <v>-12</v>
      </c>
    </row>
    <row r="41" spans="1:29" x14ac:dyDescent="0.3">
      <c r="A41">
        <f t="shared" si="13"/>
        <v>14</v>
      </c>
      <c r="B41" t="str">
        <f t="shared" si="9"/>
        <v>Mike Fitzgerald</v>
      </c>
      <c r="C41" s="14">
        <f>+C16-1</f>
        <v>3</v>
      </c>
      <c r="D41" s="14">
        <f>+D16</f>
        <v>5</v>
      </c>
      <c r="E41" s="14">
        <f>+E16</f>
        <v>4</v>
      </c>
      <c r="F41" s="14">
        <f t="shared" ref="F41:N41" si="29">+F16-1</f>
        <v>7</v>
      </c>
      <c r="G41" s="14">
        <f t="shared" si="29"/>
        <v>4</v>
      </c>
      <c r="H41" s="14">
        <f t="shared" si="29"/>
        <v>2</v>
      </c>
      <c r="I41" s="14">
        <f t="shared" si="29"/>
        <v>4</v>
      </c>
      <c r="J41" s="14">
        <f>+J16</f>
        <v>4</v>
      </c>
      <c r="K41" s="14">
        <f t="shared" si="29"/>
        <v>3</v>
      </c>
      <c r="L41" s="12">
        <f t="shared" ref="L41:L42" si="30">SUM(C41:K41)</f>
        <v>36</v>
      </c>
      <c r="M41" s="14">
        <f>+M16</f>
        <v>4</v>
      </c>
      <c r="N41" s="14">
        <f>+N16</f>
        <v>4</v>
      </c>
      <c r="O41" s="14">
        <f>+O16</f>
        <v>5</v>
      </c>
      <c r="P41" s="14">
        <f t="shared" ref="P41:U41" si="31">+P16-1</f>
        <v>4</v>
      </c>
      <c r="Q41" s="14">
        <f t="shared" si="31"/>
        <v>2</v>
      </c>
      <c r="R41" s="14">
        <f t="shared" si="31"/>
        <v>3</v>
      </c>
      <c r="S41" s="14">
        <f>+S16-1</f>
        <v>4</v>
      </c>
      <c r="T41" s="14">
        <f>+T16</f>
        <v>6</v>
      </c>
      <c r="U41" s="14">
        <f>+U16-1</f>
        <v>3</v>
      </c>
      <c r="V41" s="12">
        <f t="shared" si="10"/>
        <v>35</v>
      </c>
      <c r="W41" s="12">
        <f t="shared" si="11"/>
        <v>71</v>
      </c>
      <c r="X41" s="4">
        <f>(0.5*2)-(0.5*12)</f>
        <v>-5</v>
      </c>
      <c r="Y41" s="4">
        <f>(0.5*7)-(0.5*7)</f>
        <v>0</v>
      </c>
      <c r="Z41" s="18">
        <f>(1*3)-(1*12)</f>
        <v>-9</v>
      </c>
      <c r="AA41" s="20">
        <f t="shared" si="8"/>
        <v>-14</v>
      </c>
      <c r="AB41" s="4">
        <v>-2.2000000000000002</v>
      </c>
      <c r="AC41" s="20">
        <f t="shared" si="12"/>
        <v>-16.2</v>
      </c>
    </row>
    <row r="42" spans="1:29" x14ac:dyDescent="0.3">
      <c r="A42">
        <f t="shared" si="13"/>
        <v>15</v>
      </c>
      <c r="B42" t="str">
        <f t="shared" si="9"/>
        <v>Matt Brauer</v>
      </c>
      <c r="C42" s="14">
        <f>+C17</f>
        <v>0</v>
      </c>
      <c r="D42" s="14">
        <f t="shared" ref="D42:J42" si="32">+D17</f>
        <v>0</v>
      </c>
      <c r="E42" s="14">
        <f t="shared" si="32"/>
        <v>0</v>
      </c>
      <c r="F42" s="14">
        <f>+F17-1</f>
        <v>-1</v>
      </c>
      <c r="G42" s="14">
        <f>+G17-1</f>
        <v>-1</v>
      </c>
      <c r="H42" s="14">
        <f t="shared" si="32"/>
        <v>0</v>
      </c>
      <c r="I42" s="14">
        <f>+I17</f>
        <v>0</v>
      </c>
      <c r="J42" s="14">
        <f t="shared" si="32"/>
        <v>0</v>
      </c>
      <c r="K42" s="14">
        <f>+K17-1</f>
        <v>-1</v>
      </c>
      <c r="L42" s="12">
        <f t="shared" si="30"/>
        <v>-3</v>
      </c>
      <c r="M42" s="14">
        <f t="shared" ref="M42:T42" si="33">+M17</f>
        <v>0</v>
      </c>
      <c r="N42" s="14">
        <f t="shared" si="33"/>
        <v>0</v>
      </c>
      <c r="O42" s="14">
        <f t="shared" si="33"/>
        <v>0</v>
      </c>
      <c r="P42" s="14">
        <f t="shared" si="33"/>
        <v>0</v>
      </c>
      <c r="Q42" s="14">
        <f>+Q17-1</f>
        <v>-1</v>
      </c>
      <c r="R42" s="14">
        <f t="shared" si="33"/>
        <v>0</v>
      </c>
      <c r="S42" s="14">
        <f>+S17-1</f>
        <v>-1</v>
      </c>
      <c r="T42" s="14">
        <f t="shared" si="33"/>
        <v>0</v>
      </c>
      <c r="U42" s="14">
        <f>+U17-1</f>
        <v>-1</v>
      </c>
      <c r="V42" s="12">
        <f t="shared" si="10"/>
        <v>-3</v>
      </c>
      <c r="W42" s="12">
        <f t="shared" si="11"/>
        <v>-6</v>
      </c>
      <c r="X42" s="4"/>
      <c r="Y42" s="4"/>
      <c r="Z42" s="18">
        <f t="shared" ref="Z42:Z49" si="34">(1*3)-(1*12)</f>
        <v>-9</v>
      </c>
      <c r="AA42" s="20">
        <f t="shared" si="8"/>
        <v>-9</v>
      </c>
      <c r="AB42" s="4">
        <v>-2.2000000000000002</v>
      </c>
      <c r="AC42" s="20">
        <f t="shared" si="12"/>
        <v>-11.2</v>
      </c>
    </row>
    <row r="43" spans="1:29" x14ac:dyDescent="0.3">
      <c r="A43">
        <f t="shared" si="13"/>
        <v>16</v>
      </c>
      <c r="B43" t="str">
        <f t="shared" si="9"/>
        <v>Blake Dougan</v>
      </c>
      <c r="C43" s="14">
        <f t="shared" ref="C43:E43" si="35">+C18-1</f>
        <v>-1</v>
      </c>
      <c r="D43" s="14">
        <f t="shared" si="35"/>
        <v>-1</v>
      </c>
      <c r="E43" s="14">
        <f t="shared" si="35"/>
        <v>-1</v>
      </c>
      <c r="F43" s="14">
        <f>+F18-2</f>
        <v>-2</v>
      </c>
      <c r="G43" s="14">
        <f>+G18-2</f>
        <v>-2</v>
      </c>
      <c r="H43" s="14">
        <f>+H18-2</f>
        <v>-2</v>
      </c>
      <c r="I43" s="14">
        <f>+I18-2</f>
        <v>-2</v>
      </c>
      <c r="J43" s="14">
        <f>+J18-1</f>
        <v>-1</v>
      </c>
      <c r="K43" s="14">
        <f>+K18-2</f>
        <v>-2</v>
      </c>
      <c r="L43" s="12">
        <f>SUM(C43:K43)</f>
        <v>-14</v>
      </c>
      <c r="M43" s="14">
        <f>+M18-1</f>
        <v>-1</v>
      </c>
      <c r="N43" s="14">
        <f>+N18-1</f>
        <v>-1</v>
      </c>
      <c r="O43" s="14">
        <f>+O18-1</f>
        <v>-1</v>
      </c>
      <c r="P43" s="14">
        <f t="shared" ref="P43:S43" si="36">+P18-2</f>
        <v>-2</v>
      </c>
      <c r="Q43" s="14">
        <f t="shared" si="36"/>
        <v>-2</v>
      </c>
      <c r="R43" s="14">
        <f t="shared" si="36"/>
        <v>-2</v>
      </c>
      <c r="S43" s="14">
        <f t="shared" si="36"/>
        <v>-2</v>
      </c>
      <c r="T43" s="14">
        <f>+T18-1</f>
        <v>-1</v>
      </c>
      <c r="U43" s="14">
        <f>+U18-2</f>
        <v>-2</v>
      </c>
      <c r="V43" s="12">
        <f t="shared" si="10"/>
        <v>-14</v>
      </c>
      <c r="W43" s="12">
        <f t="shared" si="11"/>
        <v>-28</v>
      </c>
      <c r="X43" s="4"/>
      <c r="Y43" s="4"/>
      <c r="Z43" s="18">
        <f t="shared" si="34"/>
        <v>-9</v>
      </c>
      <c r="AA43" s="20">
        <f t="shared" si="8"/>
        <v>-9</v>
      </c>
      <c r="AB43" s="4">
        <v>-2.2000000000000002</v>
      </c>
      <c r="AC43" s="20">
        <f t="shared" si="12"/>
        <v>-11.2</v>
      </c>
    </row>
    <row r="44" spans="1:29" x14ac:dyDescent="0.3">
      <c r="A44">
        <f t="shared" si="13"/>
        <v>17</v>
      </c>
      <c r="B44" t="str">
        <f t="shared" si="9"/>
        <v>Mike Dougan</v>
      </c>
      <c r="C44" s="14">
        <f>+C19-1</f>
        <v>-1</v>
      </c>
      <c r="D44" s="14">
        <f>+D19-1</f>
        <v>-1</v>
      </c>
      <c r="E44" s="14">
        <f>+E19-1</f>
        <v>-1</v>
      </c>
      <c r="F44" s="14">
        <f>+F19-1</f>
        <v>-1</v>
      </c>
      <c r="G44" s="14">
        <f>+G19-2</f>
        <v>-2</v>
      </c>
      <c r="H44" s="14">
        <f>+H19-1</f>
        <v>-1</v>
      </c>
      <c r="I44" s="14">
        <f>+I19-2</f>
        <v>-2</v>
      </c>
      <c r="J44" s="14">
        <f>+J19-1</f>
        <v>-1</v>
      </c>
      <c r="K44" s="14">
        <f>+K19-2</f>
        <v>-2</v>
      </c>
      <c r="L44" s="12">
        <f t="shared" ref="L44" si="37">SUM(C44:K44)</f>
        <v>-12</v>
      </c>
      <c r="M44" s="14">
        <f>+M19-1</f>
        <v>-1</v>
      </c>
      <c r="N44" s="14">
        <f>+N19-1</f>
        <v>-1</v>
      </c>
      <c r="O44" s="14">
        <f>+O19-1</f>
        <v>-1</v>
      </c>
      <c r="P44" s="14">
        <f>+P19-1</f>
        <v>-1</v>
      </c>
      <c r="Q44" s="14">
        <f>+Q19-2</f>
        <v>-2</v>
      </c>
      <c r="R44" s="14">
        <f>+R19-1</f>
        <v>-1</v>
      </c>
      <c r="S44" s="14">
        <f>+S19-2</f>
        <v>-2</v>
      </c>
      <c r="T44" s="14">
        <f>+T19-1</f>
        <v>-1</v>
      </c>
      <c r="U44" s="14">
        <f>+U19-2</f>
        <v>-2</v>
      </c>
      <c r="V44" s="12">
        <f t="shared" si="10"/>
        <v>-12</v>
      </c>
      <c r="W44" s="12">
        <f t="shared" si="11"/>
        <v>-24</v>
      </c>
      <c r="X44" s="4"/>
      <c r="Y44" s="4"/>
      <c r="Z44" s="18">
        <f t="shared" si="34"/>
        <v>-9</v>
      </c>
      <c r="AA44" s="20">
        <f t="shared" si="8"/>
        <v>-9</v>
      </c>
      <c r="AB44" s="4">
        <v>-2.2000000000000002</v>
      </c>
      <c r="AC44" s="20">
        <f t="shared" si="12"/>
        <v>-11.2</v>
      </c>
    </row>
    <row r="45" spans="1:29" x14ac:dyDescent="0.3">
      <c r="A45">
        <f t="shared" si="13"/>
        <v>18</v>
      </c>
      <c r="B45" t="str">
        <f t="shared" si="9"/>
        <v>TJ Williams</v>
      </c>
      <c r="C45" s="14">
        <f t="shared" ref="C45:E45" si="38">+C20-1</f>
        <v>-1</v>
      </c>
      <c r="D45" s="14">
        <f t="shared" si="38"/>
        <v>-1</v>
      </c>
      <c r="E45" s="14">
        <f t="shared" si="38"/>
        <v>-1</v>
      </c>
      <c r="F45" s="14">
        <f t="shared" ref="F45:K45" si="39">+F20-2</f>
        <v>-2</v>
      </c>
      <c r="G45" s="14">
        <f t="shared" si="39"/>
        <v>-2</v>
      </c>
      <c r="H45" s="14">
        <f>+H20-1</f>
        <v>-1</v>
      </c>
      <c r="I45" s="14">
        <f t="shared" si="39"/>
        <v>-2</v>
      </c>
      <c r="J45" s="14">
        <f>+J20-1</f>
        <v>-1</v>
      </c>
      <c r="K45" s="14">
        <f t="shared" si="39"/>
        <v>-2</v>
      </c>
      <c r="L45" s="12">
        <f>SUM(C45:K45)</f>
        <v>-13</v>
      </c>
      <c r="M45" s="14">
        <f>+M20-1</f>
        <v>-1</v>
      </c>
      <c r="N45" s="14">
        <f>+N20-1</f>
        <v>-1</v>
      </c>
      <c r="O45" s="14">
        <f>+O20-1</f>
        <v>-1</v>
      </c>
      <c r="P45" s="14">
        <f>+P20-1</f>
        <v>-1</v>
      </c>
      <c r="Q45" s="14">
        <f>+Q20-2</f>
        <v>-2</v>
      </c>
      <c r="R45" s="14">
        <f>+R20-1</f>
        <v>-1</v>
      </c>
      <c r="S45" s="14">
        <f>+S20-2</f>
        <v>-2</v>
      </c>
      <c r="T45" s="14">
        <f>+T20-1</f>
        <v>-1</v>
      </c>
      <c r="U45" s="14">
        <f>+U20-2</f>
        <v>-2</v>
      </c>
      <c r="V45" s="12">
        <f t="shared" si="10"/>
        <v>-12</v>
      </c>
      <c r="W45" s="12">
        <f t="shared" si="11"/>
        <v>-25</v>
      </c>
      <c r="X45" s="4"/>
      <c r="Y45" s="4"/>
      <c r="Z45" s="18">
        <f t="shared" si="34"/>
        <v>-9</v>
      </c>
      <c r="AA45" s="20">
        <f t="shared" si="8"/>
        <v>-9</v>
      </c>
      <c r="AB45" s="4">
        <v>-2.2000000000000002</v>
      </c>
      <c r="AC45" s="20">
        <f t="shared" si="12"/>
        <v>-11.2</v>
      </c>
    </row>
    <row r="46" spans="1:29" x14ac:dyDescent="0.3">
      <c r="A46">
        <f t="shared" si="13"/>
        <v>19</v>
      </c>
      <c r="B46" t="str">
        <f t="shared" si="9"/>
        <v>Brian McGovern</v>
      </c>
      <c r="C46" s="14">
        <f>+C21-1</f>
        <v>-1</v>
      </c>
      <c r="D46" s="14">
        <f>+D21</f>
        <v>0</v>
      </c>
      <c r="E46" s="14">
        <f>+E21</f>
        <v>0</v>
      </c>
      <c r="F46" s="14">
        <f t="shared" ref="F46:K46" si="40">+F21-1</f>
        <v>-1</v>
      </c>
      <c r="G46" s="14">
        <f t="shared" si="40"/>
        <v>-1</v>
      </c>
      <c r="H46" s="14">
        <f t="shared" si="40"/>
        <v>-1</v>
      </c>
      <c r="I46" s="14">
        <f t="shared" si="40"/>
        <v>-1</v>
      </c>
      <c r="J46" s="14">
        <f t="shared" si="40"/>
        <v>-1</v>
      </c>
      <c r="K46" s="14">
        <f t="shared" si="40"/>
        <v>-1</v>
      </c>
      <c r="L46" s="12">
        <f>SUM(C46:K46)</f>
        <v>-7</v>
      </c>
      <c r="M46" s="14">
        <f>+M21-1</f>
        <v>-1</v>
      </c>
      <c r="N46" s="14">
        <f>+N21</f>
        <v>0</v>
      </c>
      <c r="O46" s="14">
        <f>+O21</f>
        <v>0</v>
      </c>
      <c r="P46" s="14">
        <f t="shared" ref="P46:U46" si="41">+P21-1</f>
        <v>-1</v>
      </c>
      <c r="Q46" s="14">
        <f t="shared" si="41"/>
        <v>-1</v>
      </c>
      <c r="R46" s="14">
        <f t="shared" si="41"/>
        <v>-1</v>
      </c>
      <c r="S46" s="14">
        <f t="shared" si="41"/>
        <v>-1</v>
      </c>
      <c r="T46" s="14">
        <f t="shared" si="41"/>
        <v>-1</v>
      </c>
      <c r="U46" s="14">
        <f t="shared" si="41"/>
        <v>-1</v>
      </c>
      <c r="V46" s="12">
        <f t="shared" si="10"/>
        <v>-7</v>
      </c>
      <c r="W46" s="12">
        <f t="shared" si="11"/>
        <v>-14</v>
      </c>
      <c r="X46" s="4"/>
      <c r="Y46" s="4"/>
      <c r="Z46" s="18">
        <f t="shared" si="34"/>
        <v>-9</v>
      </c>
      <c r="AA46" s="20">
        <f t="shared" si="8"/>
        <v>-9</v>
      </c>
      <c r="AB46" s="4">
        <v>-2.2000000000000002</v>
      </c>
      <c r="AC46" s="20">
        <f t="shared" si="12"/>
        <v>-11.2</v>
      </c>
    </row>
    <row r="47" spans="1:29" x14ac:dyDescent="0.3">
      <c r="A47">
        <f t="shared" si="13"/>
        <v>20</v>
      </c>
      <c r="B47" t="str">
        <f t="shared" si="9"/>
        <v>Dave Keyser</v>
      </c>
      <c r="C47" s="14">
        <f t="shared" ref="C47:E47" si="42">+C22-1</f>
        <v>-1</v>
      </c>
      <c r="D47" s="14">
        <f t="shared" si="42"/>
        <v>-1</v>
      </c>
      <c r="E47" s="14">
        <f t="shared" si="42"/>
        <v>-1</v>
      </c>
      <c r="F47" s="14">
        <f>+F22-2</f>
        <v>-2</v>
      </c>
      <c r="G47" s="14">
        <f>+G22-2</f>
        <v>-2</v>
      </c>
      <c r="H47" s="14">
        <f>+H22-2</f>
        <v>-2</v>
      </c>
      <c r="I47" s="14">
        <f>+I22-2</f>
        <v>-2</v>
      </c>
      <c r="J47" s="14">
        <f>+J22-1</f>
        <v>-1</v>
      </c>
      <c r="K47" s="14">
        <f>+K22-2</f>
        <v>-2</v>
      </c>
      <c r="L47" s="12">
        <f>SUM(C47:K47)</f>
        <v>-14</v>
      </c>
      <c r="M47" s="14">
        <f>+M22-1</f>
        <v>-1</v>
      </c>
      <c r="N47" s="14">
        <f>+N22-1</f>
        <v>-1</v>
      </c>
      <c r="O47" s="14">
        <f>+O22-1</f>
        <v>-1</v>
      </c>
      <c r="P47" s="14">
        <f t="shared" ref="P47:S47" si="43">+P22-2</f>
        <v>-2</v>
      </c>
      <c r="Q47" s="14">
        <f t="shared" si="43"/>
        <v>-2</v>
      </c>
      <c r="R47" s="14">
        <f t="shared" si="43"/>
        <v>-2</v>
      </c>
      <c r="S47" s="14">
        <f t="shared" si="43"/>
        <v>-2</v>
      </c>
      <c r="T47" s="14">
        <f>+T22-1</f>
        <v>-1</v>
      </c>
      <c r="U47" s="14">
        <f>+U22-2</f>
        <v>-2</v>
      </c>
      <c r="V47" s="12">
        <f t="shared" si="10"/>
        <v>-14</v>
      </c>
      <c r="W47" s="12">
        <f t="shared" si="11"/>
        <v>-28</v>
      </c>
      <c r="X47" s="4"/>
      <c r="Y47" s="4"/>
      <c r="Z47" s="18">
        <f t="shared" si="34"/>
        <v>-9</v>
      </c>
      <c r="AA47" s="20">
        <f t="shared" si="8"/>
        <v>-9</v>
      </c>
      <c r="AB47" s="4">
        <v>-2.2000000000000002</v>
      </c>
      <c r="AC47" s="20">
        <f t="shared" si="12"/>
        <v>-11.2</v>
      </c>
    </row>
    <row r="48" spans="1:29" x14ac:dyDescent="0.3">
      <c r="A48">
        <f t="shared" si="13"/>
        <v>21</v>
      </c>
      <c r="B48" t="str">
        <f t="shared" si="9"/>
        <v>Jack Sullivan</v>
      </c>
      <c r="C48" s="14">
        <f>+C23-2</f>
        <v>2</v>
      </c>
      <c r="D48" s="14">
        <f>+D23-1</f>
        <v>4</v>
      </c>
      <c r="E48" s="14">
        <f t="shared" ref="E48:L48" si="44">+E23-2</f>
        <v>3</v>
      </c>
      <c r="F48" s="14">
        <f t="shared" si="44"/>
        <v>5</v>
      </c>
      <c r="G48" s="14">
        <f t="shared" si="44"/>
        <v>1</v>
      </c>
      <c r="H48" s="14">
        <f t="shared" si="44"/>
        <v>2</v>
      </c>
      <c r="I48" s="14">
        <f t="shared" si="44"/>
        <v>5</v>
      </c>
      <c r="J48" s="14">
        <f t="shared" si="44"/>
        <v>4</v>
      </c>
      <c r="K48" s="14">
        <f t="shared" si="44"/>
        <v>3</v>
      </c>
      <c r="L48" s="12">
        <f>SUM(C48:K48)</f>
        <v>29</v>
      </c>
      <c r="M48" s="14">
        <f t="shared" ref="M48:U48" si="45">+M23-2</f>
        <v>4</v>
      </c>
      <c r="N48" s="14">
        <f>+N23-1</f>
        <v>3</v>
      </c>
      <c r="O48" s="14">
        <f t="shared" si="45"/>
        <v>5</v>
      </c>
      <c r="P48" s="14">
        <f t="shared" si="45"/>
        <v>5</v>
      </c>
      <c r="Q48" s="14">
        <f t="shared" si="45"/>
        <v>2</v>
      </c>
      <c r="R48" s="14">
        <f t="shared" si="45"/>
        <v>1</v>
      </c>
      <c r="S48" s="14">
        <f t="shared" si="45"/>
        <v>4</v>
      </c>
      <c r="T48" s="14">
        <f t="shared" si="45"/>
        <v>5</v>
      </c>
      <c r="U48" s="14">
        <f t="shared" si="45"/>
        <v>3</v>
      </c>
      <c r="V48" s="12">
        <f t="shared" si="10"/>
        <v>32</v>
      </c>
      <c r="W48" s="12">
        <f t="shared" si="11"/>
        <v>61</v>
      </c>
      <c r="X48" s="4"/>
      <c r="Y48" s="4"/>
      <c r="Z48" s="18">
        <f t="shared" si="34"/>
        <v>-9</v>
      </c>
      <c r="AA48" s="20">
        <f t="shared" si="8"/>
        <v>-9</v>
      </c>
      <c r="AB48" s="4">
        <v>-2.2000000000000002</v>
      </c>
      <c r="AC48" s="20">
        <f t="shared" si="12"/>
        <v>-11.2</v>
      </c>
    </row>
    <row r="49" spans="1:29" x14ac:dyDescent="0.3">
      <c r="A49">
        <f t="shared" si="13"/>
        <v>22</v>
      </c>
      <c r="B49" t="str">
        <f t="shared" si="9"/>
        <v>Chris Flynn</v>
      </c>
      <c r="C49" s="14">
        <f t="shared" ref="C49:K49" si="46">+C24-1</f>
        <v>4</v>
      </c>
      <c r="D49" s="14">
        <f t="shared" si="46"/>
        <v>3</v>
      </c>
      <c r="E49" s="14">
        <f t="shared" si="46"/>
        <v>4</v>
      </c>
      <c r="F49" s="14">
        <f t="shared" si="46"/>
        <v>6</v>
      </c>
      <c r="G49" s="14">
        <f>+G24-2</f>
        <v>2</v>
      </c>
      <c r="H49" s="14">
        <f>+H24-1</f>
        <v>3</v>
      </c>
      <c r="I49" s="14">
        <f>+I24-2</f>
        <v>5</v>
      </c>
      <c r="J49" s="14">
        <f>+J24-1</f>
        <v>4</v>
      </c>
      <c r="K49" s="14">
        <f>+K24-1</f>
        <v>4</v>
      </c>
      <c r="L49" s="12">
        <f t="shared" ref="L49" si="47">SUM(C49:K49)</f>
        <v>35</v>
      </c>
      <c r="M49" s="14">
        <f t="shared" ref="M49:R49" si="48">+M24-1</f>
        <v>3</v>
      </c>
      <c r="N49" s="14">
        <f t="shared" si="48"/>
        <v>4</v>
      </c>
      <c r="O49" s="14">
        <f t="shared" si="48"/>
        <v>4</v>
      </c>
      <c r="P49" s="14">
        <f t="shared" si="48"/>
        <v>5</v>
      </c>
      <c r="Q49" s="14">
        <f>+Q24-2</f>
        <v>2</v>
      </c>
      <c r="R49" s="14">
        <f t="shared" si="48"/>
        <v>3</v>
      </c>
      <c r="S49" s="14">
        <f>+S24-2</f>
        <v>4</v>
      </c>
      <c r="T49" s="14">
        <f>+T24-1</f>
        <v>4</v>
      </c>
      <c r="U49" s="14">
        <f>+U24-1</f>
        <v>4</v>
      </c>
      <c r="V49" s="12">
        <f t="shared" si="10"/>
        <v>33</v>
      </c>
      <c r="W49" s="12">
        <f t="shared" si="11"/>
        <v>68</v>
      </c>
      <c r="X49" s="4">
        <f>(0.5*5)-(0.5*10)</f>
        <v>-2.5</v>
      </c>
      <c r="Y49" s="4">
        <f>(0.5*7)-(0.5*7)</f>
        <v>0</v>
      </c>
      <c r="Z49" s="18">
        <f t="shared" si="34"/>
        <v>-9</v>
      </c>
      <c r="AA49" s="20">
        <f>SUM(X49:Z49)</f>
        <v>-11.5</v>
      </c>
      <c r="AB49" s="4">
        <v>-2.2000000000000002</v>
      </c>
      <c r="AC49" s="20">
        <f t="shared" si="12"/>
        <v>-13.7</v>
      </c>
    </row>
    <row r="50" spans="1:29" x14ac:dyDescent="0.3">
      <c r="B50" s="1" t="s">
        <v>19</v>
      </c>
      <c r="L50" s="6"/>
      <c r="V50" s="6"/>
      <c r="W50" s="6"/>
      <c r="X50" s="4">
        <f t="shared" ref="X50:AC50" si="49">SUM(X28:X49)</f>
        <v>6.5</v>
      </c>
      <c r="Y50" s="4">
        <f t="shared" si="49"/>
        <v>-1.5</v>
      </c>
      <c r="Z50" s="4">
        <f t="shared" si="49"/>
        <v>-60</v>
      </c>
      <c r="AA50" s="4">
        <f t="shared" si="49"/>
        <v>-55</v>
      </c>
      <c r="AB50" s="4">
        <f t="shared" si="49"/>
        <v>-13.3</v>
      </c>
      <c r="AC50" s="4">
        <f t="shared" si="49"/>
        <v>-68.3</v>
      </c>
    </row>
    <row r="51" spans="1:29" x14ac:dyDescent="0.3">
      <c r="B51" t="str">
        <f>+B28</f>
        <v>Colin Sullivan</v>
      </c>
      <c r="C51">
        <v>4</v>
      </c>
      <c r="D51">
        <v>10</v>
      </c>
      <c r="E51">
        <v>0</v>
      </c>
      <c r="F51">
        <v>1</v>
      </c>
      <c r="G51">
        <v>9</v>
      </c>
      <c r="H51">
        <v>5</v>
      </c>
      <c r="I51">
        <v>2</v>
      </c>
      <c r="J51">
        <v>6</v>
      </c>
      <c r="K51">
        <v>2</v>
      </c>
      <c r="L51" s="6"/>
      <c r="M51">
        <v>11</v>
      </c>
      <c r="N51">
        <v>6</v>
      </c>
      <c r="O51">
        <v>1</v>
      </c>
      <c r="P51">
        <v>2</v>
      </c>
      <c r="Q51">
        <v>8</v>
      </c>
      <c r="R51">
        <v>8</v>
      </c>
      <c r="S51">
        <v>2</v>
      </c>
      <c r="T51">
        <v>9</v>
      </c>
      <c r="U51">
        <v>2</v>
      </c>
      <c r="V51" s="6"/>
      <c r="W51" s="6"/>
    </row>
    <row r="52" spans="1:29" x14ac:dyDescent="0.3">
      <c r="B52" t="str">
        <f t="shared" ref="B52:B72" si="50">+B29</f>
        <v>Bernie Sullivan</v>
      </c>
      <c r="C52">
        <v>14</v>
      </c>
      <c r="D52">
        <v>6</v>
      </c>
      <c r="E52">
        <v>6</v>
      </c>
      <c r="F52">
        <v>0</v>
      </c>
      <c r="G52">
        <v>9</v>
      </c>
      <c r="H52">
        <v>1</v>
      </c>
      <c r="I52">
        <v>2</v>
      </c>
      <c r="J52">
        <v>6</v>
      </c>
      <c r="K52">
        <v>0</v>
      </c>
      <c r="L52" s="6"/>
      <c r="M52">
        <v>6</v>
      </c>
      <c r="N52">
        <v>1</v>
      </c>
      <c r="O52">
        <v>10</v>
      </c>
      <c r="P52">
        <v>2</v>
      </c>
      <c r="Q52">
        <v>8</v>
      </c>
      <c r="R52">
        <v>2</v>
      </c>
      <c r="S52">
        <v>0</v>
      </c>
      <c r="T52">
        <v>4</v>
      </c>
      <c r="U52">
        <v>4</v>
      </c>
      <c r="V52" s="6"/>
      <c r="W52" s="6"/>
    </row>
    <row r="53" spans="1:29" x14ac:dyDescent="0.3">
      <c r="B53" t="str">
        <f t="shared" si="50"/>
        <v>Joe McCardel</v>
      </c>
      <c r="C53">
        <v>8</v>
      </c>
      <c r="D53">
        <v>0</v>
      </c>
      <c r="E53">
        <v>2</v>
      </c>
      <c r="F53">
        <v>1</v>
      </c>
      <c r="G53">
        <v>0</v>
      </c>
      <c r="H53">
        <f>+H51</f>
        <v>5</v>
      </c>
      <c r="I53">
        <v>2</v>
      </c>
      <c r="J53">
        <v>1</v>
      </c>
      <c r="K53">
        <v>10</v>
      </c>
      <c r="L53" s="6"/>
      <c r="M53">
        <v>1</v>
      </c>
      <c r="N53">
        <v>1</v>
      </c>
      <c r="O53">
        <v>0</v>
      </c>
      <c r="P53">
        <v>2</v>
      </c>
      <c r="Q53">
        <v>0</v>
      </c>
      <c r="R53">
        <v>4</v>
      </c>
      <c r="S53">
        <v>2</v>
      </c>
      <c r="T53">
        <v>4</v>
      </c>
      <c r="U53">
        <v>2</v>
      </c>
      <c r="V53" s="6"/>
      <c r="W53" s="6"/>
    </row>
    <row r="54" spans="1:29" x14ac:dyDescent="0.3">
      <c r="B54" t="str">
        <f t="shared" si="50"/>
        <v>Dave Brauer</v>
      </c>
      <c r="C54">
        <v>8</v>
      </c>
      <c r="D54">
        <v>6</v>
      </c>
      <c r="E54">
        <v>2</v>
      </c>
      <c r="F54">
        <v>1</v>
      </c>
      <c r="G54">
        <v>3</v>
      </c>
      <c r="H54">
        <v>2</v>
      </c>
      <c r="I54">
        <v>9</v>
      </c>
      <c r="J54">
        <v>1</v>
      </c>
      <c r="K54">
        <v>2</v>
      </c>
      <c r="L54" s="6"/>
      <c r="M54">
        <f>+M52</f>
        <v>6</v>
      </c>
      <c r="N54">
        <v>6</v>
      </c>
      <c r="O54">
        <v>6</v>
      </c>
      <c r="P54">
        <v>0</v>
      </c>
      <c r="Q54">
        <v>2</v>
      </c>
      <c r="R54">
        <v>4</v>
      </c>
      <c r="S54">
        <v>11</v>
      </c>
      <c r="T54">
        <v>9</v>
      </c>
      <c r="U54">
        <v>4</v>
      </c>
      <c r="V54" s="6"/>
      <c r="W54" s="6"/>
    </row>
    <row r="55" spans="1:29" x14ac:dyDescent="0.3">
      <c r="B55" t="str">
        <f t="shared" si="50"/>
        <v>John Sullivan</v>
      </c>
      <c r="C55">
        <v>8</v>
      </c>
      <c r="D55" s="7">
        <v>10</v>
      </c>
      <c r="E55">
        <v>6</v>
      </c>
      <c r="F55">
        <v>10</v>
      </c>
      <c r="G55">
        <v>9</v>
      </c>
      <c r="H55">
        <v>0</v>
      </c>
      <c r="I55">
        <v>2</v>
      </c>
      <c r="J55">
        <v>6</v>
      </c>
      <c r="K55">
        <v>10</v>
      </c>
      <c r="L55" s="6"/>
      <c r="M55">
        <f>+M53</f>
        <v>1</v>
      </c>
      <c r="N55">
        <v>11</v>
      </c>
      <c r="O55">
        <v>6</v>
      </c>
      <c r="P55">
        <v>2</v>
      </c>
      <c r="Q55">
        <v>2</v>
      </c>
      <c r="R55">
        <v>4</v>
      </c>
      <c r="S55">
        <v>10</v>
      </c>
      <c r="T55">
        <v>4</v>
      </c>
      <c r="U55">
        <v>4</v>
      </c>
      <c r="V55" s="6"/>
      <c r="W55" s="6"/>
    </row>
    <row r="56" spans="1:29" x14ac:dyDescent="0.3">
      <c r="B56" t="str">
        <f t="shared" si="50"/>
        <v>Ralph</v>
      </c>
      <c r="C56">
        <v>8</v>
      </c>
      <c r="D56">
        <v>4</v>
      </c>
      <c r="E56">
        <v>2</v>
      </c>
      <c r="F56">
        <v>10</v>
      </c>
      <c r="G56">
        <v>3</v>
      </c>
      <c r="H56">
        <f>+H53</f>
        <v>5</v>
      </c>
      <c r="I56">
        <v>0</v>
      </c>
      <c r="J56">
        <v>6</v>
      </c>
      <c r="K56">
        <v>2</v>
      </c>
      <c r="L56" s="6"/>
      <c r="M56">
        <f>+M54</f>
        <v>6</v>
      </c>
      <c r="N56">
        <v>0</v>
      </c>
      <c r="O56">
        <v>1</v>
      </c>
      <c r="P56">
        <v>2</v>
      </c>
      <c r="Q56">
        <v>2</v>
      </c>
      <c r="R56">
        <v>0</v>
      </c>
      <c r="S56">
        <v>0</v>
      </c>
      <c r="T56">
        <v>4</v>
      </c>
      <c r="U56">
        <v>1</v>
      </c>
      <c r="V56" s="6"/>
      <c r="W56" s="6"/>
    </row>
    <row r="57" spans="1:29" x14ac:dyDescent="0.3">
      <c r="B57" t="str">
        <f t="shared" si="50"/>
        <v>Leo</v>
      </c>
      <c r="C57">
        <v>15</v>
      </c>
      <c r="D57">
        <v>1</v>
      </c>
      <c r="E57">
        <v>6</v>
      </c>
      <c r="F57">
        <v>5</v>
      </c>
      <c r="G57">
        <v>1</v>
      </c>
      <c r="H57">
        <v>11</v>
      </c>
      <c r="I57">
        <v>0</v>
      </c>
      <c r="J57">
        <v>1</v>
      </c>
      <c r="K57">
        <v>2</v>
      </c>
      <c r="L57" s="6"/>
      <c r="M57">
        <v>1</v>
      </c>
      <c r="N57">
        <v>6</v>
      </c>
      <c r="O57">
        <v>1</v>
      </c>
      <c r="P57">
        <v>2</v>
      </c>
      <c r="Q57">
        <v>2</v>
      </c>
      <c r="R57">
        <v>8</v>
      </c>
      <c r="S57">
        <f>+S51</f>
        <v>2</v>
      </c>
      <c r="T57">
        <v>1</v>
      </c>
      <c r="U57">
        <v>11</v>
      </c>
      <c r="V57" s="6"/>
      <c r="W57" s="6"/>
    </row>
    <row r="58" spans="1:29" x14ac:dyDescent="0.3">
      <c r="B58" t="str">
        <f t="shared" si="50"/>
        <v>Matt Lawrence</v>
      </c>
      <c r="C58">
        <f>+C56</f>
        <v>8</v>
      </c>
      <c r="D58">
        <v>6</v>
      </c>
      <c r="E58">
        <v>6</v>
      </c>
      <c r="F58">
        <v>5</v>
      </c>
      <c r="G58">
        <v>2</v>
      </c>
      <c r="H58">
        <v>2</v>
      </c>
      <c r="I58">
        <v>9</v>
      </c>
      <c r="J58">
        <v>1</v>
      </c>
      <c r="K58">
        <v>2</v>
      </c>
      <c r="L58" s="6"/>
      <c r="M58">
        <f>+M56</f>
        <v>6</v>
      </c>
      <c r="N58">
        <v>6</v>
      </c>
      <c r="O58">
        <v>6</v>
      </c>
      <c r="P58">
        <v>2</v>
      </c>
      <c r="Q58">
        <v>0</v>
      </c>
      <c r="R58">
        <v>8</v>
      </c>
      <c r="S58">
        <v>2</v>
      </c>
      <c r="T58">
        <v>4</v>
      </c>
      <c r="U58">
        <v>4</v>
      </c>
      <c r="V58" s="6"/>
      <c r="W58" s="6"/>
    </row>
    <row r="59" spans="1:29" x14ac:dyDescent="0.3">
      <c r="B59" t="str">
        <f t="shared" si="50"/>
        <v>Jerry Flynn</v>
      </c>
      <c r="C59">
        <f>+C58</f>
        <v>8</v>
      </c>
      <c r="D59">
        <v>4</v>
      </c>
      <c r="E59">
        <v>0</v>
      </c>
      <c r="F59">
        <v>5</v>
      </c>
      <c r="G59">
        <v>3</v>
      </c>
      <c r="H59">
        <f>+H56</f>
        <v>5</v>
      </c>
      <c r="I59">
        <v>2</v>
      </c>
      <c r="J59">
        <v>6</v>
      </c>
      <c r="K59">
        <v>0</v>
      </c>
      <c r="L59" s="6"/>
      <c r="M59">
        <v>0</v>
      </c>
      <c r="N59">
        <v>1</v>
      </c>
      <c r="O59">
        <v>1</v>
      </c>
      <c r="P59">
        <v>2</v>
      </c>
      <c r="Q59">
        <v>2</v>
      </c>
      <c r="R59">
        <v>8</v>
      </c>
      <c r="S59">
        <v>2</v>
      </c>
      <c r="T59">
        <v>1</v>
      </c>
      <c r="U59">
        <v>4</v>
      </c>
      <c r="V59" s="6"/>
      <c r="W59" s="6"/>
    </row>
    <row r="60" spans="1:29" x14ac:dyDescent="0.3">
      <c r="B60" t="str">
        <f t="shared" si="50"/>
        <v>Mike Flynn</v>
      </c>
      <c r="C60">
        <v>4</v>
      </c>
      <c r="D60">
        <v>6</v>
      </c>
      <c r="E60">
        <v>6</v>
      </c>
      <c r="F60">
        <v>5</v>
      </c>
      <c r="G60">
        <v>3</v>
      </c>
      <c r="H60">
        <v>9</v>
      </c>
      <c r="I60">
        <v>2</v>
      </c>
      <c r="J60">
        <v>1</v>
      </c>
      <c r="K60">
        <v>2</v>
      </c>
      <c r="L60" s="6"/>
      <c r="M60">
        <v>1</v>
      </c>
      <c r="N60">
        <v>1</v>
      </c>
      <c r="O60">
        <v>6</v>
      </c>
      <c r="P60">
        <v>2</v>
      </c>
      <c r="Q60">
        <v>8</v>
      </c>
      <c r="R60">
        <v>8</v>
      </c>
      <c r="S60">
        <v>2</v>
      </c>
      <c r="T60">
        <v>1</v>
      </c>
      <c r="U60">
        <v>4</v>
      </c>
      <c r="V60" s="6"/>
      <c r="W60" s="6"/>
    </row>
    <row r="61" spans="1:29" x14ac:dyDescent="0.3">
      <c r="B61" t="str">
        <f t="shared" si="50"/>
        <v>Sean Flynn</v>
      </c>
      <c r="C61">
        <v>0</v>
      </c>
      <c r="D61">
        <v>1</v>
      </c>
      <c r="E61">
        <v>2</v>
      </c>
      <c r="F61">
        <v>1</v>
      </c>
      <c r="G61">
        <v>3</v>
      </c>
      <c r="H61">
        <f>+H54</f>
        <v>2</v>
      </c>
      <c r="I61">
        <v>2</v>
      </c>
      <c r="J61">
        <v>6</v>
      </c>
      <c r="K61">
        <v>2</v>
      </c>
      <c r="L61" s="6"/>
      <c r="M61">
        <f>+M58</f>
        <v>6</v>
      </c>
      <c r="N61">
        <v>6</v>
      </c>
      <c r="O61">
        <v>10</v>
      </c>
      <c r="P61">
        <v>2</v>
      </c>
      <c r="Q61">
        <v>8</v>
      </c>
      <c r="R61">
        <v>0</v>
      </c>
      <c r="S61">
        <v>2</v>
      </c>
      <c r="T61">
        <v>9</v>
      </c>
      <c r="U61">
        <v>0</v>
      </c>
      <c r="V61" s="6"/>
      <c r="W61" s="6"/>
    </row>
    <row r="62" spans="1:29" x14ac:dyDescent="0.3">
      <c r="B62" t="str">
        <f t="shared" si="50"/>
        <v>Kevin Fitzgerald</v>
      </c>
      <c r="C62">
        <v>4</v>
      </c>
      <c r="D62">
        <v>1</v>
      </c>
      <c r="E62">
        <v>11</v>
      </c>
      <c r="F62">
        <v>5</v>
      </c>
      <c r="G62">
        <v>3</v>
      </c>
      <c r="H62">
        <f>+H60</f>
        <v>9</v>
      </c>
      <c r="I62">
        <v>9</v>
      </c>
      <c r="J62">
        <v>0</v>
      </c>
      <c r="K62">
        <v>2</v>
      </c>
      <c r="L62" s="6"/>
      <c r="M62">
        <v>1</v>
      </c>
      <c r="N62">
        <v>1</v>
      </c>
      <c r="O62">
        <v>1</v>
      </c>
      <c r="P62">
        <v>0</v>
      </c>
      <c r="Q62">
        <v>2</v>
      </c>
      <c r="R62">
        <v>0</v>
      </c>
      <c r="S62">
        <v>2</v>
      </c>
      <c r="T62">
        <v>0</v>
      </c>
      <c r="U62">
        <v>4</v>
      </c>
      <c r="V62" s="6"/>
      <c r="W62" s="6"/>
    </row>
    <row r="63" spans="1:29" x14ac:dyDescent="0.3">
      <c r="B63" t="str">
        <f t="shared" si="50"/>
        <v>Richard McGovern</v>
      </c>
      <c r="C63">
        <v>1</v>
      </c>
      <c r="D63">
        <v>14</v>
      </c>
      <c r="E63">
        <v>9</v>
      </c>
      <c r="F63">
        <v>2</v>
      </c>
      <c r="G63">
        <v>2</v>
      </c>
      <c r="L63" s="6"/>
      <c r="V63" s="6"/>
      <c r="W63" s="6"/>
    </row>
    <row r="64" spans="1:29" x14ac:dyDescent="0.3">
      <c r="B64" t="str">
        <f t="shared" si="50"/>
        <v>Mike Fitzgerald</v>
      </c>
      <c r="C64">
        <v>1</v>
      </c>
      <c r="D64">
        <v>15</v>
      </c>
      <c r="E64">
        <v>0</v>
      </c>
      <c r="F64">
        <v>2</v>
      </c>
      <c r="G64">
        <v>2</v>
      </c>
      <c r="L64" s="6"/>
      <c r="V64" s="6"/>
      <c r="W64" s="6"/>
    </row>
    <row r="65" spans="2:23" x14ac:dyDescent="0.3">
      <c r="B65" t="str">
        <f t="shared" si="50"/>
        <v>Matt Brauer</v>
      </c>
      <c r="C65">
        <v>1</v>
      </c>
      <c r="D65">
        <v>1</v>
      </c>
      <c r="E65">
        <v>3</v>
      </c>
      <c r="F65">
        <v>2</v>
      </c>
      <c r="L65" s="6"/>
      <c r="V65" s="6"/>
      <c r="W65" s="6"/>
    </row>
    <row r="66" spans="2:23" x14ac:dyDescent="0.3">
      <c r="B66" t="str">
        <f t="shared" si="50"/>
        <v>Blake Dougan</v>
      </c>
      <c r="L66" s="6"/>
      <c r="V66" s="6"/>
      <c r="W66" s="6"/>
    </row>
    <row r="67" spans="2:23" x14ac:dyDescent="0.3">
      <c r="B67" t="str">
        <f t="shared" si="50"/>
        <v>Mike Dougan</v>
      </c>
      <c r="L67" s="6"/>
      <c r="V67" s="6"/>
      <c r="W67" s="6"/>
    </row>
    <row r="68" spans="2:23" x14ac:dyDescent="0.3">
      <c r="B68" t="str">
        <f t="shared" si="50"/>
        <v>TJ Williams</v>
      </c>
      <c r="L68" s="6"/>
      <c r="V68" s="6"/>
      <c r="W68" s="6"/>
    </row>
    <row r="69" spans="2:23" x14ac:dyDescent="0.3">
      <c r="B69" t="str">
        <f t="shared" si="50"/>
        <v>Brian McGovern</v>
      </c>
      <c r="L69" s="6"/>
      <c r="V69" s="6"/>
      <c r="W69" s="6"/>
    </row>
    <row r="70" spans="2:23" x14ac:dyDescent="0.3">
      <c r="B70" t="str">
        <f t="shared" si="50"/>
        <v>Dave Keyser</v>
      </c>
      <c r="C70">
        <f>+C60</f>
        <v>4</v>
      </c>
      <c r="D70">
        <v>6</v>
      </c>
      <c r="E70">
        <v>14</v>
      </c>
      <c r="F70">
        <v>0</v>
      </c>
      <c r="L70" s="6"/>
      <c r="V70" s="6"/>
      <c r="W70" s="6"/>
    </row>
    <row r="71" spans="2:23" x14ac:dyDescent="0.3">
      <c r="B71" t="str">
        <f t="shared" si="50"/>
        <v>Jack Sullivan</v>
      </c>
      <c r="L71" s="6"/>
      <c r="V71" s="6"/>
      <c r="W71" s="6"/>
    </row>
    <row r="72" spans="2:23" x14ac:dyDescent="0.3">
      <c r="B72" t="str">
        <f t="shared" si="50"/>
        <v>Chris Flynn</v>
      </c>
      <c r="L72" s="6"/>
      <c r="V72" s="6"/>
      <c r="W72" s="6"/>
    </row>
    <row r="73" spans="2:23" x14ac:dyDescent="0.3">
      <c r="C73">
        <f>SUM(C51:C72)</f>
        <v>96</v>
      </c>
      <c r="D73">
        <f t="shared" ref="D73:K73" si="51">SUM(D51:D72)</f>
        <v>91</v>
      </c>
      <c r="E73">
        <f t="shared" si="51"/>
        <v>75</v>
      </c>
      <c r="F73">
        <f t="shared" si="51"/>
        <v>55</v>
      </c>
      <c r="G73">
        <f t="shared" si="51"/>
        <v>52</v>
      </c>
      <c r="H73">
        <f t="shared" si="51"/>
        <v>56</v>
      </c>
      <c r="I73">
        <f t="shared" si="51"/>
        <v>41</v>
      </c>
      <c r="J73">
        <f t="shared" si="51"/>
        <v>41</v>
      </c>
      <c r="K73">
        <f t="shared" si="51"/>
        <v>36</v>
      </c>
      <c r="L73" s="6"/>
      <c r="M73">
        <f t="shared" ref="M73:U73" si="52">SUM(M51:M72)</f>
        <v>46</v>
      </c>
      <c r="N73">
        <f t="shared" si="52"/>
        <v>46</v>
      </c>
      <c r="O73">
        <f t="shared" si="52"/>
        <v>49</v>
      </c>
      <c r="P73">
        <f t="shared" si="52"/>
        <v>20</v>
      </c>
      <c r="Q73">
        <f t="shared" si="52"/>
        <v>44</v>
      </c>
      <c r="R73">
        <f t="shared" si="52"/>
        <v>54</v>
      </c>
      <c r="S73">
        <f t="shared" si="52"/>
        <v>37</v>
      </c>
      <c r="T73">
        <f t="shared" si="52"/>
        <v>50</v>
      </c>
      <c r="U73">
        <f t="shared" si="52"/>
        <v>44</v>
      </c>
      <c r="V73" s="6"/>
      <c r="W73" s="6"/>
    </row>
    <row r="74" spans="2:23" x14ac:dyDescent="0.3">
      <c r="B74" s="1" t="s">
        <v>20</v>
      </c>
      <c r="L74" s="6"/>
      <c r="V74" s="6"/>
      <c r="W74" s="6"/>
    </row>
    <row r="75" spans="2:23" x14ac:dyDescent="0.3">
      <c r="B75" t="str">
        <f>+B51</f>
        <v>Colin Sullivan</v>
      </c>
      <c r="C75" s="5">
        <v>-8</v>
      </c>
      <c r="D75" s="5">
        <v>0</v>
      </c>
      <c r="E75" s="5">
        <v>-10</v>
      </c>
      <c r="F75" s="5">
        <v>-7</v>
      </c>
      <c r="G75" s="5">
        <v>0</v>
      </c>
      <c r="H75" s="5">
        <v>-3</v>
      </c>
      <c r="I75" s="5">
        <v>-3</v>
      </c>
      <c r="J75" s="5">
        <v>0</v>
      </c>
      <c r="K75" s="5">
        <v>-2</v>
      </c>
      <c r="L75" s="12"/>
      <c r="M75" s="5">
        <v>0</v>
      </c>
      <c r="N75" s="5">
        <v>-1</v>
      </c>
      <c r="O75" s="5">
        <v>-6</v>
      </c>
      <c r="P75" s="5">
        <v>0</v>
      </c>
      <c r="Q75" s="5">
        <v>0</v>
      </c>
      <c r="R75" s="5">
        <v>0</v>
      </c>
      <c r="S75" s="5">
        <v>-2</v>
      </c>
      <c r="T75" s="5">
        <v>0</v>
      </c>
      <c r="U75" s="5">
        <v>-8</v>
      </c>
      <c r="V75" s="12"/>
      <c r="W75" s="12"/>
    </row>
    <row r="76" spans="2:23" x14ac:dyDescent="0.3">
      <c r="B76" t="str">
        <f t="shared" ref="B76:B96" si="53">+B52</f>
        <v>Bernie Sullivan</v>
      </c>
      <c r="C76" s="5">
        <v>-1</v>
      </c>
      <c r="D76" s="5">
        <v>-2</v>
      </c>
      <c r="E76" s="5">
        <v>-1</v>
      </c>
      <c r="F76" s="5">
        <v>-11</v>
      </c>
      <c r="G76" s="5">
        <v>0</v>
      </c>
      <c r="H76" s="5">
        <v>-10</v>
      </c>
      <c r="I76" s="5">
        <v>-3</v>
      </c>
      <c r="J76" s="5">
        <v>0</v>
      </c>
      <c r="K76" s="5">
        <v>-10</v>
      </c>
      <c r="L76" s="12"/>
      <c r="M76" s="5">
        <v>-1</v>
      </c>
      <c r="N76" s="5">
        <v>-6</v>
      </c>
      <c r="O76" s="5">
        <v>0</v>
      </c>
      <c r="P76" s="5">
        <v>0</v>
      </c>
      <c r="Q76" s="5">
        <v>0</v>
      </c>
      <c r="R76" s="5">
        <v>-9</v>
      </c>
      <c r="S76" s="5">
        <v>-10</v>
      </c>
      <c r="T76" s="5">
        <v>-3</v>
      </c>
      <c r="U76" s="5">
        <v>-1</v>
      </c>
      <c r="V76" s="12"/>
      <c r="W76" s="12"/>
    </row>
    <row r="77" spans="2:23" x14ac:dyDescent="0.3">
      <c r="B77" t="str">
        <f t="shared" si="53"/>
        <v>Joe McCardel</v>
      </c>
      <c r="C77" s="5">
        <v>-2</v>
      </c>
      <c r="D77" s="5">
        <v>-11</v>
      </c>
      <c r="E77" s="5">
        <v>-6</v>
      </c>
      <c r="F77" s="5">
        <v>-7</v>
      </c>
      <c r="G77" s="5">
        <v>-11</v>
      </c>
      <c r="H77" s="5">
        <f>+H75</f>
        <v>-3</v>
      </c>
      <c r="I77" s="5">
        <v>-3</v>
      </c>
      <c r="J77" s="5">
        <v>-6</v>
      </c>
      <c r="K77" s="5">
        <v>0</v>
      </c>
      <c r="L77" s="12"/>
      <c r="M77" s="5">
        <v>-6</v>
      </c>
      <c r="N77" s="5">
        <f>+N76</f>
        <v>-6</v>
      </c>
      <c r="O77" s="5">
        <v>-11</v>
      </c>
      <c r="P77" s="5">
        <v>0</v>
      </c>
      <c r="Q77" s="5">
        <v>-10</v>
      </c>
      <c r="R77" s="5">
        <v>-4</v>
      </c>
      <c r="S77" s="5">
        <v>-2</v>
      </c>
      <c r="T77" s="5">
        <v>-3</v>
      </c>
      <c r="U77" s="5">
        <v>-8</v>
      </c>
      <c r="V77" s="12"/>
      <c r="W77" s="12"/>
    </row>
    <row r="78" spans="2:23" x14ac:dyDescent="0.3">
      <c r="B78" t="str">
        <f t="shared" si="53"/>
        <v>Dave Brauer</v>
      </c>
      <c r="C78" s="5">
        <v>-2</v>
      </c>
      <c r="D78" s="5">
        <v>-2</v>
      </c>
      <c r="E78" s="5">
        <v>-6</v>
      </c>
      <c r="F78" s="5">
        <v>-7</v>
      </c>
      <c r="G78" s="5">
        <v>-3</v>
      </c>
      <c r="H78" s="5">
        <v>-7</v>
      </c>
      <c r="I78" s="5">
        <v>0</v>
      </c>
      <c r="J78" s="5">
        <v>-6</v>
      </c>
      <c r="K78" s="5">
        <v>-2</v>
      </c>
      <c r="L78" s="12"/>
      <c r="M78" s="5">
        <f>+M76</f>
        <v>-1</v>
      </c>
      <c r="N78" s="5">
        <f>+N75</f>
        <v>-1</v>
      </c>
      <c r="O78" s="5">
        <v>-2</v>
      </c>
      <c r="P78" s="5">
        <v>-10</v>
      </c>
      <c r="Q78" s="5">
        <v>-4</v>
      </c>
      <c r="R78" s="5">
        <v>-4</v>
      </c>
      <c r="S78" s="5">
        <v>0</v>
      </c>
      <c r="T78" s="5">
        <v>0</v>
      </c>
      <c r="U78" s="5">
        <v>-1</v>
      </c>
      <c r="V78" s="12"/>
      <c r="W78" s="12"/>
    </row>
    <row r="79" spans="2:23" x14ac:dyDescent="0.3">
      <c r="B79" t="str">
        <f t="shared" si="53"/>
        <v>John Sullivan</v>
      </c>
      <c r="C79" s="5">
        <v>-2</v>
      </c>
      <c r="D79" s="5">
        <v>0</v>
      </c>
      <c r="E79" s="5">
        <v>-1</v>
      </c>
      <c r="F79" s="5">
        <v>0</v>
      </c>
      <c r="G79" s="5">
        <v>0</v>
      </c>
      <c r="H79" s="5">
        <v>-11</v>
      </c>
      <c r="I79" s="5">
        <v>-3</v>
      </c>
      <c r="J79" s="5">
        <v>0</v>
      </c>
      <c r="K79" s="5">
        <v>0</v>
      </c>
      <c r="L79" s="12"/>
      <c r="M79" s="5">
        <f>+M77</f>
        <v>-6</v>
      </c>
      <c r="N79" s="5">
        <v>0</v>
      </c>
      <c r="O79" s="5">
        <v>-2</v>
      </c>
      <c r="P79" s="5">
        <v>0</v>
      </c>
      <c r="Q79" s="5">
        <v>-4</v>
      </c>
      <c r="R79" s="5">
        <v>-4</v>
      </c>
      <c r="S79" s="5">
        <v>-1</v>
      </c>
      <c r="T79" s="5">
        <v>-3</v>
      </c>
      <c r="U79" s="5">
        <v>-1</v>
      </c>
      <c r="V79" s="12"/>
      <c r="W79" s="12"/>
    </row>
    <row r="80" spans="2:23" x14ac:dyDescent="0.3">
      <c r="B80" t="str">
        <f t="shared" si="53"/>
        <v>Ralph</v>
      </c>
      <c r="C80" s="5">
        <v>-2</v>
      </c>
      <c r="D80" s="5">
        <v>-6</v>
      </c>
      <c r="E80" s="5">
        <v>-6</v>
      </c>
      <c r="F80" s="5">
        <v>0</v>
      </c>
      <c r="G80" s="5">
        <v>-3</v>
      </c>
      <c r="H80" s="5">
        <f>+H77</f>
        <v>-3</v>
      </c>
      <c r="I80" s="5">
        <v>-10</v>
      </c>
      <c r="J80" s="5">
        <v>0</v>
      </c>
      <c r="K80" s="5">
        <v>-2</v>
      </c>
      <c r="L80" s="12"/>
      <c r="M80" s="5">
        <f>+M76</f>
        <v>-1</v>
      </c>
      <c r="N80" s="5">
        <v>-11</v>
      </c>
      <c r="O80" s="5">
        <v>-6</v>
      </c>
      <c r="P80" s="5">
        <v>0</v>
      </c>
      <c r="Q80" s="5">
        <v>-4</v>
      </c>
      <c r="R80" s="5">
        <v>-10</v>
      </c>
      <c r="S80" s="5">
        <v>-10</v>
      </c>
      <c r="T80" s="5">
        <v>-3</v>
      </c>
      <c r="U80" s="5">
        <v>-10</v>
      </c>
      <c r="V80" s="12"/>
      <c r="W80" s="12"/>
    </row>
    <row r="81" spans="2:23" x14ac:dyDescent="0.3">
      <c r="B81" t="str">
        <f t="shared" si="53"/>
        <v>Leo</v>
      </c>
      <c r="C81" s="5">
        <v>0</v>
      </c>
      <c r="D81" s="5">
        <v>-8</v>
      </c>
      <c r="E81" s="5">
        <v>-1</v>
      </c>
      <c r="F81" s="5">
        <v>-2</v>
      </c>
      <c r="G81" s="5">
        <v>-10</v>
      </c>
      <c r="H81" s="5">
        <v>0</v>
      </c>
      <c r="I81" s="5">
        <f>+I80</f>
        <v>-10</v>
      </c>
      <c r="J81" s="5">
        <v>-6</v>
      </c>
      <c r="K81" s="5">
        <v>-2</v>
      </c>
      <c r="L81" s="12"/>
      <c r="M81" s="5">
        <f>+M77</f>
        <v>-6</v>
      </c>
      <c r="N81" s="5">
        <f>+N75</f>
        <v>-1</v>
      </c>
      <c r="O81" s="5">
        <v>-6</v>
      </c>
      <c r="P81" s="5">
        <v>0</v>
      </c>
      <c r="Q81" s="5">
        <v>-4</v>
      </c>
      <c r="R81" s="5">
        <v>0</v>
      </c>
      <c r="S81" s="5">
        <v>-2</v>
      </c>
      <c r="T81" s="5">
        <v>-8</v>
      </c>
      <c r="U81" s="5">
        <v>0</v>
      </c>
      <c r="V81" s="12"/>
      <c r="W81" s="12"/>
    </row>
    <row r="82" spans="2:23" x14ac:dyDescent="0.3">
      <c r="B82" t="str">
        <f t="shared" si="53"/>
        <v>Matt Lawrence</v>
      </c>
      <c r="C82" s="5">
        <v>-4</v>
      </c>
      <c r="D82" s="5">
        <v>-2</v>
      </c>
      <c r="E82" s="5">
        <v>-1</v>
      </c>
      <c r="F82" s="5">
        <v>-2</v>
      </c>
      <c r="G82" s="5">
        <v>-9</v>
      </c>
      <c r="H82" s="5">
        <f>+H78</f>
        <v>-7</v>
      </c>
      <c r="I82" s="5">
        <v>0</v>
      </c>
      <c r="J82" s="5">
        <v>-6</v>
      </c>
      <c r="K82" s="5">
        <v>-2</v>
      </c>
      <c r="L82" s="12"/>
      <c r="M82" s="5">
        <f>+M76</f>
        <v>-1</v>
      </c>
      <c r="N82" s="5">
        <f>+N81</f>
        <v>-1</v>
      </c>
      <c r="O82" s="5">
        <f>+O79</f>
        <v>-2</v>
      </c>
      <c r="P82" s="5">
        <v>0</v>
      </c>
      <c r="Q82" s="5">
        <v>-10</v>
      </c>
      <c r="R82" s="5">
        <v>0</v>
      </c>
      <c r="S82" s="5">
        <v>-2</v>
      </c>
      <c r="T82" s="5">
        <v>-3</v>
      </c>
      <c r="U82" s="5">
        <v>-1</v>
      </c>
      <c r="V82" s="12"/>
      <c r="W82" s="12"/>
    </row>
    <row r="83" spans="2:23" x14ac:dyDescent="0.3">
      <c r="B83" t="str">
        <f t="shared" si="53"/>
        <v>Jerry Flynn</v>
      </c>
      <c r="C83" s="5">
        <v>-2</v>
      </c>
      <c r="D83" s="5">
        <v>-6</v>
      </c>
      <c r="E83" s="5">
        <v>-10</v>
      </c>
      <c r="F83" s="5">
        <v>-2</v>
      </c>
      <c r="G83" s="5">
        <v>-3</v>
      </c>
      <c r="H83" s="5">
        <f>+H80</f>
        <v>-3</v>
      </c>
      <c r="I83" s="5">
        <v>-3</v>
      </c>
      <c r="J83" s="5">
        <v>0</v>
      </c>
      <c r="K83" s="5">
        <v>-10</v>
      </c>
      <c r="L83" s="12"/>
      <c r="M83" s="5">
        <v>-11</v>
      </c>
      <c r="N83" s="5">
        <f>+N76</f>
        <v>-6</v>
      </c>
      <c r="O83" s="5">
        <f>+O75</f>
        <v>-6</v>
      </c>
      <c r="P83" s="5">
        <v>0</v>
      </c>
      <c r="Q83" s="5">
        <v>-4</v>
      </c>
      <c r="R83" s="5">
        <v>0</v>
      </c>
      <c r="S83" s="5">
        <v>-2</v>
      </c>
      <c r="T83" s="5">
        <v>-8</v>
      </c>
      <c r="U83" s="5">
        <v>-1</v>
      </c>
      <c r="V83" s="12"/>
      <c r="W83" s="12"/>
    </row>
    <row r="84" spans="2:23" x14ac:dyDescent="0.3">
      <c r="B84" t="str">
        <f t="shared" si="53"/>
        <v>Mike Flynn</v>
      </c>
      <c r="C84" s="5">
        <v>-8</v>
      </c>
      <c r="D84" s="5">
        <v>-2</v>
      </c>
      <c r="E84" s="5">
        <v>-1</v>
      </c>
      <c r="F84" s="5">
        <v>-2</v>
      </c>
      <c r="G84" s="5">
        <v>-3</v>
      </c>
      <c r="H84" s="5">
        <v>-1</v>
      </c>
      <c r="I84" s="5">
        <v>-3</v>
      </c>
      <c r="J84" s="5">
        <v>-6</v>
      </c>
      <c r="K84" s="5">
        <v>-2</v>
      </c>
      <c r="L84" s="12"/>
      <c r="M84" s="5">
        <f>+M81</f>
        <v>-6</v>
      </c>
      <c r="N84" s="5">
        <f>+N83</f>
        <v>-6</v>
      </c>
      <c r="O84" s="5">
        <f>+O82</f>
        <v>-2</v>
      </c>
      <c r="P84" s="5">
        <v>0</v>
      </c>
      <c r="Q84" s="5">
        <v>0</v>
      </c>
      <c r="R84" s="5">
        <v>-4</v>
      </c>
      <c r="S84" s="5">
        <v>-2</v>
      </c>
      <c r="T84" s="5">
        <v>-8</v>
      </c>
      <c r="U84" s="5">
        <v>-1</v>
      </c>
      <c r="V84" s="12"/>
      <c r="W84" s="12"/>
    </row>
    <row r="85" spans="2:23" x14ac:dyDescent="0.3">
      <c r="B85" t="str">
        <f t="shared" si="53"/>
        <v>Sean Flynn</v>
      </c>
      <c r="C85" s="5">
        <v>-15</v>
      </c>
      <c r="D85" s="5">
        <v>-8</v>
      </c>
      <c r="E85" s="5">
        <v>-6</v>
      </c>
      <c r="F85" s="5">
        <v>-7</v>
      </c>
      <c r="G85" s="5">
        <v>-3</v>
      </c>
      <c r="H85" s="5">
        <f>+H78</f>
        <v>-7</v>
      </c>
      <c r="I85" s="5">
        <v>-3</v>
      </c>
      <c r="J85" s="5">
        <v>0</v>
      </c>
      <c r="K85" s="5">
        <v>-2</v>
      </c>
      <c r="L85" s="12"/>
      <c r="M85" s="5">
        <f>+M82</f>
        <v>-1</v>
      </c>
      <c r="N85" s="5">
        <f>+N82</f>
        <v>-1</v>
      </c>
      <c r="O85" s="5">
        <v>0</v>
      </c>
      <c r="P85" s="5">
        <v>0</v>
      </c>
      <c r="Q85" s="5">
        <v>0</v>
      </c>
      <c r="R85" s="5">
        <v>-10</v>
      </c>
      <c r="S85" s="5">
        <v>-2</v>
      </c>
      <c r="T85" s="5">
        <v>0</v>
      </c>
      <c r="U85" s="5">
        <v>-11</v>
      </c>
      <c r="V85" s="12"/>
      <c r="W85" s="12"/>
    </row>
    <row r="86" spans="2:23" x14ac:dyDescent="0.3">
      <c r="B86" t="str">
        <f t="shared" si="53"/>
        <v>Kevin Fitzgerald</v>
      </c>
      <c r="C86" s="5">
        <v>-8</v>
      </c>
      <c r="D86" s="5">
        <v>-8</v>
      </c>
      <c r="E86" s="5">
        <v>0</v>
      </c>
      <c r="F86" s="5">
        <v>-2</v>
      </c>
      <c r="G86" s="5">
        <v>-3</v>
      </c>
      <c r="H86" s="5">
        <f>+H84</f>
        <v>-1</v>
      </c>
      <c r="I86" s="5">
        <v>0</v>
      </c>
      <c r="J86" s="5">
        <v>-11</v>
      </c>
      <c r="K86" s="5">
        <v>-2</v>
      </c>
      <c r="L86" s="12"/>
      <c r="M86" s="5">
        <f>+M84</f>
        <v>-6</v>
      </c>
      <c r="N86" s="5">
        <f>+N84</f>
        <v>-6</v>
      </c>
      <c r="O86" s="5">
        <f>+O81</f>
        <v>-6</v>
      </c>
      <c r="P86" s="5">
        <v>-10</v>
      </c>
      <c r="Q86" s="5">
        <v>-4</v>
      </c>
      <c r="R86" s="5">
        <v>-9</v>
      </c>
      <c r="S86" s="5">
        <v>-2</v>
      </c>
      <c r="T86" s="5">
        <v>-11</v>
      </c>
      <c r="U86" s="5">
        <v>-1</v>
      </c>
      <c r="V86" s="12"/>
      <c r="W86" s="12"/>
    </row>
    <row r="87" spans="2:23" x14ac:dyDescent="0.3">
      <c r="B87" t="str">
        <f t="shared" si="53"/>
        <v>Richard McGovern</v>
      </c>
      <c r="C87" s="5"/>
      <c r="D87" s="5"/>
      <c r="E87" s="5"/>
      <c r="F87" s="5"/>
      <c r="G87" s="5"/>
      <c r="H87" s="5"/>
      <c r="I87" s="5"/>
      <c r="J87" s="5"/>
      <c r="K87" s="5"/>
      <c r="L87" s="12"/>
      <c r="M87" s="5"/>
      <c r="N87" s="5"/>
      <c r="O87" s="5"/>
      <c r="P87" s="5"/>
      <c r="Q87" s="5"/>
      <c r="R87" s="5"/>
      <c r="S87" s="5"/>
      <c r="T87" s="5"/>
      <c r="U87" s="5"/>
      <c r="V87" s="12"/>
      <c r="W87" s="12"/>
    </row>
    <row r="88" spans="2:23" x14ac:dyDescent="0.3">
      <c r="B88" t="str">
        <f t="shared" si="53"/>
        <v>Mike Fitzgerald</v>
      </c>
      <c r="C88" s="5"/>
      <c r="D88" s="5"/>
      <c r="E88" s="5"/>
      <c r="F88" s="5"/>
      <c r="G88" s="5"/>
      <c r="H88" s="5"/>
      <c r="I88" s="5"/>
      <c r="J88" s="5"/>
      <c r="K88" s="5"/>
      <c r="L88" s="12"/>
      <c r="M88" s="5"/>
      <c r="N88" s="5"/>
      <c r="O88" s="5"/>
      <c r="P88" s="5"/>
      <c r="Q88" s="5"/>
      <c r="R88" s="5"/>
      <c r="S88" s="5"/>
      <c r="T88" s="5"/>
      <c r="U88" s="5"/>
      <c r="V88" s="12"/>
      <c r="W88" s="12"/>
    </row>
    <row r="89" spans="2:23" x14ac:dyDescent="0.3">
      <c r="B89" t="str">
        <f t="shared" si="53"/>
        <v>Matt Brauer</v>
      </c>
      <c r="C89" s="5"/>
      <c r="D89" s="5"/>
      <c r="E89" s="5"/>
      <c r="F89" s="5"/>
      <c r="G89" s="5"/>
      <c r="H89" s="5"/>
      <c r="I89" s="5"/>
      <c r="J89" s="5"/>
      <c r="K89" s="5"/>
      <c r="L89" s="12"/>
      <c r="M89" s="5"/>
      <c r="N89" s="5"/>
      <c r="O89" s="5"/>
      <c r="P89" s="5"/>
      <c r="Q89" s="5"/>
      <c r="R89" s="5"/>
      <c r="S89" s="5"/>
      <c r="T89" s="5"/>
      <c r="U89" s="5"/>
      <c r="V89" s="12"/>
      <c r="W89" s="12"/>
    </row>
    <row r="90" spans="2:23" x14ac:dyDescent="0.3">
      <c r="B90" t="str">
        <f t="shared" si="53"/>
        <v>Blake Dougan</v>
      </c>
      <c r="C90" s="5"/>
      <c r="D90" s="5"/>
      <c r="E90" s="5"/>
      <c r="F90" s="5"/>
      <c r="G90" s="5"/>
      <c r="H90" s="5"/>
      <c r="I90" s="5"/>
      <c r="J90" s="5"/>
      <c r="K90" s="5"/>
      <c r="L90" s="12"/>
      <c r="M90" s="5"/>
      <c r="N90" s="5"/>
      <c r="O90" s="5"/>
      <c r="P90" s="5"/>
      <c r="Q90" s="5"/>
      <c r="R90" s="5"/>
      <c r="S90" s="5"/>
      <c r="T90" s="5"/>
      <c r="U90" s="5"/>
      <c r="V90" s="12"/>
      <c r="W90" s="12"/>
    </row>
    <row r="91" spans="2:23" x14ac:dyDescent="0.3">
      <c r="B91" t="str">
        <f t="shared" si="53"/>
        <v>Mike Dougan</v>
      </c>
      <c r="C91" s="5"/>
      <c r="D91" s="5"/>
      <c r="E91" s="5"/>
      <c r="F91" s="5"/>
      <c r="G91" s="5"/>
      <c r="H91" s="5"/>
      <c r="I91" s="5"/>
      <c r="J91" s="5"/>
      <c r="K91" s="5"/>
      <c r="L91" s="12"/>
      <c r="M91" s="5"/>
      <c r="N91" s="5"/>
      <c r="O91" s="5"/>
      <c r="P91" s="5"/>
      <c r="Q91" s="5"/>
      <c r="R91" s="5"/>
      <c r="S91" s="5"/>
      <c r="T91" s="5"/>
      <c r="U91" s="5"/>
      <c r="V91" s="12"/>
      <c r="W91" s="12"/>
    </row>
    <row r="92" spans="2:23" x14ac:dyDescent="0.3">
      <c r="B92" t="str">
        <f t="shared" si="53"/>
        <v>TJ Williams</v>
      </c>
      <c r="C92" s="5"/>
      <c r="D92" s="5"/>
      <c r="E92" s="5"/>
      <c r="F92" s="5"/>
      <c r="G92" s="5"/>
      <c r="H92" s="5"/>
      <c r="I92" s="5"/>
      <c r="J92" s="5"/>
      <c r="K92" s="5"/>
      <c r="L92" s="12"/>
      <c r="M92" s="5"/>
      <c r="N92" s="5"/>
      <c r="O92" s="5"/>
      <c r="P92" s="5"/>
      <c r="Q92" s="5"/>
      <c r="R92" s="5"/>
      <c r="S92" s="5"/>
      <c r="T92" s="5"/>
      <c r="U92" s="5"/>
      <c r="V92" s="12"/>
      <c r="W92" s="12"/>
    </row>
    <row r="93" spans="2:23" x14ac:dyDescent="0.3">
      <c r="B93" t="str">
        <f t="shared" si="53"/>
        <v>Brian McGovern</v>
      </c>
      <c r="C93" s="5">
        <v>-12</v>
      </c>
      <c r="D93" s="5"/>
      <c r="E93" s="5"/>
      <c r="F93" s="5"/>
      <c r="G93" s="5"/>
      <c r="H93" s="5"/>
      <c r="I93" s="5"/>
      <c r="J93" s="5"/>
      <c r="K93" s="5"/>
      <c r="L93" s="12"/>
      <c r="M93" s="5"/>
      <c r="N93" s="5"/>
      <c r="O93" s="5"/>
      <c r="P93" s="5"/>
      <c r="Q93" s="5"/>
      <c r="R93" s="5"/>
      <c r="S93" s="5"/>
      <c r="T93" s="5"/>
      <c r="U93" s="5"/>
      <c r="V93" s="12"/>
      <c r="W93" s="12"/>
    </row>
    <row r="94" spans="2:23" x14ac:dyDescent="0.3">
      <c r="B94" t="str">
        <f t="shared" si="53"/>
        <v>Dave Keyser</v>
      </c>
      <c r="C94" s="5">
        <v>-12</v>
      </c>
      <c r="D94" s="5"/>
      <c r="E94" s="5"/>
      <c r="F94" s="5"/>
      <c r="G94" s="5"/>
      <c r="H94" s="5"/>
      <c r="I94" s="5"/>
      <c r="J94" s="5"/>
      <c r="K94" s="5"/>
      <c r="L94" s="12"/>
      <c r="M94" s="5"/>
      <c r="N94" s="5"/>
      <c r="O94" s="5"/>
      <c r="P94" s="5"/>
      <c r="Q94" s="5"/>
      <c r="R94" s="5"/>
      <c r="S94" s="5"/>
      <c r="T94" s="5"/>
      <c r="U94" s="5"/>
      <c r="V94" s="12"/>
      <c r="W94" s="12"/>
    </row>
    <row r="95" spans="2:23" x14ac:dyDescent="0.3">
      <c r="B95" t="str">
        <f t="shared" si="53"/>
        <v>Jack Sullivan</v>
      </c>
      <c r="C95" s="5">
        <v>-12</v>
      </c>
      <c r="D95" s="5"/>
      <c r="E95" s="5"/>
      <c r="F95" s="5"/>
      <c r="G95" s="5"/>
      <c r="H95" s="5"/>
      <c r="I95" s="5"/>
      <c r="J95" s="5"/>
      <c r="K95" s="5"/>
      <c r="L95" s="12"/>
      <c r="M95" s="5"/>
      <c r="N95" s="5"/>
      <c r="O95" s="5"/>
      <c r="P95" s="5"/>
      <c r="Q95" s="5"/>
      <c r="R95" s="5"/>
      <c r="S95" s="5"/>
      <c r="T95" s="5"/>
      <c r="U95" s="5"/>
      <c r="V95" s="12"/>
      <c r="W95" s="12"/>
    </row>
    <row r="96" spans="2:23" x14ac:dyDescent="0.3">
      <c r="B96" t="str">
        <f t="shared" si="53"/>
        <v>Chris Flynn</v>
      </c>
      <c r="C96" s="5">
        <v>-8</v>
      </c>
      <c r="D96" s="5"/>
      <c r="E96" s="5"/>
      <c r="F96" s="5"/>
      <c r="G96" s="5"/>
      <c r="H96" s="5"/>
      <c r="I96" s="5"/>
      <c r="J96" s="5"/>
      <c r="K96" s="5"/>
      <c r="L96" s="12"/>
      <c r="M96" s="5"/>
      <c r="N96" s="5"/>
      <c r="O96" s="5"/>
      <c r="P96" s="5"/>
      <c r="Q96" s="5"/>
      <c r="R96" s="5"/>
      <c r="S96" s="5"/>
      <c r="T96" s="5"/>
      <c r="U96" s="5"/>
      <c r="V96" s="12"/>
      <c r="W96" s="12"/>
    </row>
    <row r="97" spans="2:28" x14ac:dyDescent="0.3">
      <c r="C97" s="5">
        <f>SUM(C75:C96)</f>
        <v>-98</v>
      </c>
      <c r="D97" s="5">
        <f t="shared" ref="D97:K97" si="54">SUM(D75:D96)</f>
        <v>-55</v>
      </c>
      <c r="E97" s="5">
        <f t="shared" si="54"/>
        <v>-49</v>
      </c>
      <c r="F97" s="5">
        <f t="shared" si="54"/>
        <v>-49</v>
      </c>
      <c r="G97" s="5">
        <f t="shared" si="54"/>
        <v>-48</v>
      </c>
      <c r="H97" s="5">
        <f t="shared" si="54"/>
        <v>-56</v>
      </c>
      <c r="I97" s="5">
        <f t="shared" si="54"/>
        <v>-41</v>
      </c>
      <c r="J97" s="5">
        <f t="shared" si="54"/>
        <v>-41</v>
      </c>
      <c r="K97" s="5">
        <f t="shared" si="54"/>
        <v>-36</v>
      </c>
      <c r="L97" s="12"/>
      <c r="M97" s="5">
        <f t="shared" ref="M97:U97" si="55">SUM(M75:M96)</f>
        <v>-46</v>
      </c>
      <c r="N97" s="5">
        <f t="shared" si="55"/>
        <v>-46</v>
      </c>
      <c r="O97" s="5">
        <f t="shared" si="55"/>
        <v>-49</v>
      </c>
      <c r="P97" s="5">
        <f t="shared" si="55"/>
        <v>-20</v>
      </c>
      <c r="Q97" s="5">
        <f t="shared" si="55"/>
        <v>-44</v>
      </c>
      <c r="R97" s="5">
        <f t="shared" si="55"/>
        <v>-54</v>
      </c>
      <c r="S97" s="5">
        <f t="shared" si="55"/>
        <v>-37</v>
      </c>
      <c r="T97" s="5">
        <f t="shared" si="55"/>
        <v>-50</v>
      </c>
      <c r="U97" s="5">
        <f t="shared" si="55"/>
        <v>-44</v>
      </c>
      <c r="V97" s="12"/>
      <c r="W97" s="12"/>
    </row>
    <row r="98" spans="2:28" x14ac:dyDescent="0.3">
      <c r="B98" t="s">
        <v>16</v>
      </c>
      <c r="C98" s="5"/>
      <c r="D98" s="5"/>
      <c r="E98" s="5"/>
      <c r="F98" s="5"/>
      <c r="G98" s="5"/>
      <c r="H98" s="5"/>
      <c r="I98" s="5"/>
      <c r="J98" s="5"/>
      <c r="K98" s="5"/>
      <c r="L98" s="12"/>
      <c r="M98" s="5"/>
      <c r="N98" s="5"/>
      <c r="O98" s="5"/>
      <c r="P98" s="5"/>
      <c r="Q98" s="5"/>
      <c r="R98" s="5"/>
      <c r="S98" s="5"/>
      <c r="T98" s="5"/>
      <c r="U98" s="5"/>
      <c r="V98" s="12"/>
      <c r="W98" s="12"/>
      <c r="Y98" t="s">
        <v>17</v>
      </c>
      <c r="Z98" t="s">
        <v>18</v>
      </c>
      <c r="AA98" t="s">
        <v>1</v>
      </c>
    </row>
    <row r="99" spans="2:28" x14ac:dyDescent="0.3">
      <c r="B99" t="str">
        <f>+B75</f>
        <v>Colin Sullivan</v>
      </c>
      <c r="C99" s="5">
        <f t="shared" ref="C99:K114" si="56">+C51+C75</f>
        <v>-4</v>
      </c>
      <c r="D99" s="5">
        <f t="shared" si="56"/>
        <v>10</v>
      </c>
      <c r="E99" s="5">
        <f t="shared" si="56"/>
        <v>-10</v>
      </c>
      <c r="F99" s="5">
        <f t="shared" si="56"/>
        <v>-6</v>
      </c>
      <c r="G99" s="5">
        <f t="shared" si="56"/>
        <v>9</v>
      </c>
      <c r="H99" s="5">
        <f t="shared" si="56"/>
        <v>2</v>
      </c>
      <c r="I99" s="5">
        <f t="shared" si="56"/>
        <v>-1</v>
      </c>
      <c r="J99" s="5">
        <f t="shared" si="56"/>
        <v>6</v>
      </c>
      <c r="K99" s="5">
        <f t="shared" si="56"/>
        <v>0</v>
      </c>
      <c r="L99" s="12">
        <f>SUM(C99:K99)</f>
        <v>6</v>
      </c>
      <c r="M99" s="5">
        <f t="shared" ref="M99:U114" si="57">+M51+M75</f>
        <v>11</v>
      </c>
      <c r="N99" s="5">
        <f t="shared" si="57"/>
        <v>5</v>
      </c>
      <c r="O99" s="5">
        <f t="shared" si="57"/>
        <v>-5</v>
      </c>
      <c r="P99" s="5">
        <f t="shared" si="57"/>
        <v>2</v>
      </c>
      <c r="Q99" s="5">
        <f t="shared" si="57"/>
        <v>8</v>
      </c>
      <c r="R99" s="5">
        <f t="shared" si="57"/>
        <v>8</v>
      </c>
      <c r="S99" s="5">
        <f t="shared" si="57"/>
        <v>0</v>
      </c>
      <c r="T99" s="5">
        <f t="shared" si="57"/>
        <v>9</v>
      </c>
      <c r="U99" s="5">
        <f t="shared" si="57"/>
        <v>-6</v>
      </c>
      <c r="V99" s="12">
        <f>SUM(M99:U99)</f>
        <v>32</v>
      </c>
      <c r="W99" s="12">
        <f>+V99+L99</f>
        <v>38</v>
      </c>
      <c r="X99" s="3">
        <f>+W99*0.3</f>
        <v>11.4</v>
      </c>
      <c r="Y99" s="4">
        <f>3.5-1.5</f>
        <v>2</v>
      </c>
      <c r="Z99" s="4">
        <v>5</v>
      </c>
      <c r="AA99" s="4">
        <f>10-1</f>
        <v>9</v>
      </c>
      <c r="AB99" s="10">
        <f>+X99+Y99+Z99+AA99</f>
        <v>27.4</v>
      </c>
    </row>
    <row r="100" spans="2:28" x14ac:dyDescent="0.3">
      <c r="B100" t="str">
        <f t="shared" ref="B100:B120" si="58">+B76</f>
        <v>Bernie Sullivan</v>
      </c>
      <c r="C100" s="5">
        <f t="shared" si="56"/>
        <v>13</v>
      </c>
      <c r="D100" s="5">
        <f t="shared" si="56"/>
        <v>4</v>
      </c>
      <c r="E100" s="5">
        <f t="shared" si="56"/>
        <v>5</v>
      </c>
      <c r="F100" s="5">
        <f t="shared" si="56"/>
        <v>-11</v>
      </c>
      <c r="G100" s="5">
        <f t="shared" si="56"/>
        <v>9</v>
      </c>
      <c r="H100" s="5">
        <f t="shared" si="56"/>
        <v>-9</v>
      </c>
      <c r="I100" s="5">
        <f t="shared" si="56"/>
        <v>-1</v>
      </c>
      <c r="J100" s="5">
        <f t="shared" si="56"/>
        <v>6</v>
      </c>
      <c r="K100" s="5">
        <f t="shared" si="56"/>
        <v>-10</v>
      </c>
      <c r="L100" s="12">
        <f t="shared" ref="L100:L120" si="59">SUM(C100:K100)</f>
        <v>6</v>
      </c>
      <c r="M100" s="5">
        <f t="shared" si="57"/>
        <v>5</v>
      </c>
      <c r="N100" s="5">
        <f t="shared" si="57"/>
        <v>-5</v>
      </c>
      <c r="O100" s="5">
        <f t="shared" si="57"/>
        <v>10</v>
      </c>
      <c r="P100" s="5">
        <f t="shared" si="57"/>
        <v>2</v>
      </c>
      <c r="Q100" s="5">
        <f t="shared" si="57"/>
        <v>8</v>
      </c>
      <c r="R100" s="5">
        <f t="shared" si="57"/>
        <v>-7</v>
      </c>
      <c r="S100" s="5">
        <f t="shared" si="57"/>
        <v>-10</v>
      </c>
      <c r="T100" s="5">
        <f t="shared" si="57"/>
        <v>1</v>
      </c>
      <c r="U100" s="5">
        <f t="shared" si="57"/>
        <v>3</v>
      </c>
      <c r="V100" s="12">
        <f t="shared" ref="V100:V120" si="60">SUM(M100:U100)</f>
        <v>7</v>
      </c>
      <c r="W100" s="12">
        <f t="shared" ref="W100:W120" si="61">+V100+L100</f>
        <v>13</v>
      </c>
      <c r="X100" s="3">
        <f t="shared" ref="X100:X121" si="62">+W100*0.3</f>
        <v>3.9</v>
      </c>
      <c r="Y100" s="4">
        <f t="shared" ref="Y100:Y121" si="63">3.5-1.5</f>
        <v>2</v>
      </c>
      <c r="Z100" s="4">
        <v>5</v>
      </c>
      <c r="AA100" s="4">
        <f t="shared" ref="AA100:AA121" si="64">10-1</f>
        <v>9</v>
      </c>
      <c r="AB100" s="10">
        <f t="shared" ref="AB100:AB114" si="65">+X100+Y100+Z100+AA100</f>
        <v>19.899999999999999</v>
      </c>
    </row>
    <row r="101" spans="2:28" x14ac:dyDescent="0.3">
      <c r="B101" t="str">
        <f t="shared" si="58"/>
        <v>Joe McCardel</v>
      </c>
      <c r="C101" s="5">
        <f t="shared" si="56"/>
        <v>6</v>
      </c>
      <c r="D101" s="5">
        <f t="shared" si="56"/>
        <v>-11</v>
      </c>
      <c r="E101" s="5">
        <f t="shared" si="56"/>
        <v>-4</v>
      </c>
      <c r="F101" s="5">
        <f t="shared" si="56"/>
        <v>-6</v>
      </c>
      <c r="G101" s="5">
        <f t="shared" si="56"/>
        <v>-11</v>
      </c>
      <c r="H101" s="5">
        <f t="shared" si="56"/>
        <v>2</v>
      </c>
      <c r="I101" s="5">
        <f t="shared" si="56"/>
        <v>-1</v>
      </c>
      <c r="J101" s="5">
        <f t="shared" si="56"/>
        <v>-5</v>
      </c>
      <c r="K101" s="5">
        <f t="shared" si="56"/>
        <v>10</v>
      </c>
      <c r="L101" s="12">
        <f t="shared" si="59"/>
        <v>-20</v>
      </c>
      <c r="M101" s="5">
        <f t="shared" si="57"/>
        <v>-5</v>
      </c>
      <c r="N101" s="5">
        <f t="shared" si="57"/>
        <v>-5</v>
      </c>
      <c r="O101" s="5">
        <f t="shared" si="57"/>
        <v>-11</v>
      </c>
      <c r="P101" s="5">
        <f t="shared" si="57"/>
        <v>2</v>
      </c>
      <c r="Q101" s="5">
        <f t="shared" si="57"/>
        <v>-10</v>
      </c>
      <c r="R101" s="5">
        <f t="shared" si="57"/>
        <v>0</v>
      </c>
      <c r="S101" s="5">
        <f t="shared" si="57"/>
        <v>0</v>
      </c>
      <c r="T101" s="5">
        <f t="shared" si="57"/>
        <v>1</v>
      </c>
      <c r="U101" s="5">
        <f t="shared" si="57"/>
        <v>-6</v>
      </c>
      <c r="V101" s="12">
        <f t="shared" si="60"/>
        <v>-34</v>
      </c>
      <c r="W101" s="12">
        <f t="shared" si="61"/>
        <v>-54</v>
      </c>
      <c r="X101" s="3">
        <f t="shared" si="62"/>
        <v>-16.2</v>
      </c>
      <c r="Y101" s="4">
        <f t="shared" si="63"/>
        <v>2</v>
      </c>
      <c r="Z101" s="4">
        <v>5</v>
      </c>
      <c r="AA101" s="4">
        <f t="shared" si="64"/>
        <v>9</v>
      </c>
      <c r="AB101" s="10">
        <f t="shared" si="65"/>
        <v>-0.19999999999999929</v>
      </c>
    </row>
    <row r="102" spans="2:28" x14ac:dyDescent="0.3">
      <c r="B102" t="str">
        <f t="shared" si="58"/>
        <v>Dave Brauer</v>
      </c>
      <c r="C102" s="5">
        <f t="shared" si="56"/>
        <v>6</v>
      </c>
      <c r="D102" s="5">
        <f t="shared" si="56"/>
        <v>4</v>
      </c>
      <c r="E102" s="5">
        <f t="shared" si="56"/>
        <v>-4</v>
      </c>
      <c r="F102" s="5">
        <f t="shared" si="56"/>
        <v>-6</v>
      </c>
      <c r="G102" s="5">
        <f t="shared" si="56"/>
        <v>0</v>
      </c>
      <c r="H102" s="5">
        <f t="shared" si="56"/>
        <v>-5</v>
      </c>
      <c r="I102" s="5">
        <f t="shared" si="56"/>
        <v>9</v>
      </c>
      <c r="J102" s="5">
        <f t="shared" si="56"/>
        <v>-5</v>
      </c>
      <c r="K102" s="5">
        <f t="shared" si="56"/>
        <v>0</v>
      </c>
      <c r="L102" s="12">
        <f t="shared" si="59"/>
        <v>-1</v>
      </c>
      <c r="M102" s="5">
        <f t="shared" si="57"/>
        <v>5</v>
      </c>
      <c r="N102" s="5">
        <f t="shared" si="57"/>
        <v>5</v>
      </c>
      <c r="O102" s="5">
        <f t="shared" si="57"/>
        <v>4</v>
      </c>
      <c r="P102" s="5">
        <f t="shared" si="57"/>
        <v>-10</v>
      </c>
      <c r="Q102" s="5">
        <f t="shared" si="57"/>
        <v>-2</v>
      </c>
      <c r="R102" s="5">
        <f t="shared" si="57"/>
        <v>0</v>
      </c>
      <c r="S102" s="5">
        <f t="shared" si="57"/>
        <v>11</v>
      </c>
      <c r="T102" s="5">
        <f t="shared" si="57"/>
        <v>9</v>
      </c>
      <c r="U102" s="5">
        <f t="shared" si="57"/>
        <v>3</v>
      </c>
      <c r="V102" s="12">
        <f t="shared" si="60"/>
        <v>25</v>
      </c>
      <c r="W102" s="12">
        <f t="shared" si="61"/>
        <v>24</v>
      </c>
      <c r="X102" s="3">
        <f t="shared" si="62"/>
        <v>7.1999999999999993</v>
      </c>
      <c r="Y102" s="4">
        <f t="shared" si="63"/>
        <v>2</v>
      </c>
      <c r="Z102" s="4">
        <v>5</v>
      </c>
      <c r="AA102" s="4">
        <f t="shared" si="64"/>
        <v>9</v>
      </c>
      <c r="AB102" s="10">
        <f>+X102+Y102+Z102+AA102</f>
        <v>23.2</v>
      </c>
    </row>
    <row r="103" spans="2:28" x14ac:dyDescent="0.3">
      <c r="B103" t="str">
        <f t="shared" si="58"/>
        <v>John Sullivan</v>
      </c>
      <c r="C103" s="5">
        <f t="shared" si="56"/>
        <v>6</v>
      </c>
      <c r="D103" s="5">
        <f t="shared" si="56"/>
        <v>10</v>
      </c>
      <c r="E103" s="5">
        <f t="shared" si="56"/>
        <v>5</v>
      </c>
      <c r="F103" s="5">
        <f t="shared" si="56"/>
        <v>10</v>
      </c>
      <c r="G103" s="5">
        <f t="shared" si="56"/>
        <v>9</v>
      </c>
      <c r="H103" s="5">
        <f t="shared" si="56"/>
        <v>-11</v>
      </c>
      <c r="I103" s="5">
        <f t="shared" si="56"/>
        <v>-1</v>
      </c>
      <c r="J103" s="5">
        <f t="shared" si="56"/>
        <v>6</v>
      </c>
      <c r="K103" s="5">
        <f t="shared" si="56"/>
        <v>10</v>
      </c>
      <c r="L103" s="12">
        <f t="shared" si="59"/>
        <v>44</v>
      </c>
      <c r="M103" s="5">
        <f t="shared" si="57"/>
        <v>-5</v>
      </c>
      <c r="N103" s="5">
        <f t="shared" si="57"/>
        <v>11</v>
      </c>
      <c r="O103" s="5">
        <f t="shared" si="57"/>
        <v>4</v>
      </c>
      <c r="P103" s="5">
        <f t="shared" si="57"/>
        <v>2</v>
      </c>
      <c r="Q103" s="5">
        <f t="shared" si="57"/>
        <v>-2</v>
      </c>
      <c r="R103" s="5">
        <f t="shared" si="57"/>
        <v>0</v>
      </c>
      <c r="S103" s="5">
        <f t="shared" si="57"/>
        <v>9</v>
      </c>
      <c r="T103" s="5">
        <f t="shared" si="57"/>
        <v>1</v>
      </c>
      <c r="U103" s="5">
        <f t="shared" si="57"/>
        <v>3</v>
      </c>
      <c r="V103" s="12">
        <f t="shared" si="60"/>
        <v>23</v>
      </c>
      <c r="W103" s="12">
        <f t="shared" si="61"/>
        <v>67</v>
      </c>
      <c r="X103" s="3">
        <f t="shared" si="62"/>
        <v>20.099999999999998</v>
      </c>
      <c r="Y103" s="4">
        <f t="shared" si="63"/>
        <v>2</v>
      </c>
      <c r="Z103" s="4">
        <v>5</v>
      </c>
      <c r="AA103" s="4">
        <f t="shared" si="64"/>
        <v>9</v>
      </c>
      <c r="AB103" s="10">
        <f t="shared" si="65"/>
        <v>36.099999999999994</v>
      </c>
    </row>
    <row r="104" spans="2:28" x14ac:dyDescent="0.3">
      <c r="B104" t="str">
        <f t="shared" si="58"/>
        <v>Ralph</v>
      </c>
      <c r="C104" s="5">
        <f t="shared" si="56"/>
        <v>6</v>
      </c>
      <c r="D104" s="5">
        <f t="shared" si="56"/>
        <v>-2</v>
      </c>
      <c r="E104" s="5">
        <f t="shared" si="56"/>
        <v>-4</v>
      </c>
      <c r="F104" s="5">
        <f t="shared" si="56"/>
        <v>10</v>
      </c>
      <c r="G104" s="5">
        <f t="shared" si="56"/>
        <v>0</v>
      </c>
      <c r="H104" s="5">
        <f t="shared" si="56"/>
        <v>2</v>
      </c>
      <c r="I104" s="5">
        <f t="shared" si="56"/>
        <v>-10</v>
      </c>
      <c r="J104" s="5">
        <f t="shared" si="56"/>
        <v>6</v>
      </c>
      <c r="K104" s="5">
        <f t="shared" si="56"/>
        <v>0</v>
      </c>
      <c r="L104" s="12">
        <f t="shared" si="59"/>
        <v>8</v>
      </c>
      <c r="M104" s="5">
        <f t="shared" si="57"/>
        <v>5</v>
      </c>
      <c r="N104" s="5">
        <f t="shared" si="57"/>
        <v>-11</v>
      </c>
      <c r="O104" s="5">
        <f t="shared" si="57"/>
        <v>-5</v>
      </c>
      <c r="P104" s="5">
        <f t="shared" si="57"/>
        <v>2</v>
      </c>
      <c r="Q104" s="5">
        <f t="shared" si="57"/>
        <v>-2</v>
      </c>
      <c r="R104" s="5">
        <f t="shared" si="57"/>
        <v>-10</v>
      </c>
      <c r="S104" s="5">
        <f t="shared" si="57"/>
        <v>-10</v>
      </c>
      <c r="T104" s="5">
        <f t="shared" si="57"/>
        <v>1</v>
      </c>
      <c r="U104" s="5">
        <f t="shared" si="57"/>
        <v>-9</v>
      </c>
      <c r="V104" s="12">
        <f t="shared" si="60"/>
        <v>-39</v>
      </c>
      <c r="W104" s="12">
        <f t="shared" si="61"/>
        <v>-31</v>
      </c>
      <c r="X104" s="3">
        <f t="shared" si="62"/>
        <v>-9.2999999999999989</v>
      </c>
      <c r="Y104" s="4">
        <f t="shared" si="63"/>
        <v>2</v>
      </c>
      <c r="Z104" s="4">
        <v>5</v>
      </c>
      <c r="AA104" s="4">
        <f t="shared" si="64"/>
        <v>9</v>
      </c>
      <c r="AB104" s="10">
        <f t="shared" si="65"/>
        <v>6.7000000000000011</v>
      </c>
    </row>
    <row r="105" spans="2:28" x14ac:dyDescent="0.3">
      <c r="B105" t="str">
        <f t="shared" si="58"/>
        <v>Leo</v>
      </c>
      <c r="C105" s="5">
        <f t="shared" si="56"/>
        <v>15</v>
      </c>
      <c r="D105" s="5">
        <f t="shared" si="56"/>
        <v>-7</v>
      </c>
      <c r="E105" s="5">
        <f t="shared" si="56"/>
        <v>5</v>
      </c>
      <c r="F105" s="5">
        <f t="shared" si="56"/>
        <v>3</v>
      </c>
      <c r="G105" s="5">
        <f t="shared" si="56"/>
        <v>-9</v>
      </c>
      <c r="H105" s="5">
        <f t="shared" si="56"/>
        <v>11</v>
      </c>
      <c r="I105" s="5">
        <f t="shared" si="56"/>
        <v>-10</v>
      </c>
      <c r="J105" s="5">
        <f t="shared" si="56"/>
        <v>-5</v>
      </c>
      <c r="K105" s="5">
        <f t="shared" si="56"/>
        <v>0</v>
      </c>
      <c r="L105" s="12">
        <f t="shared" si="59"/>
        <v>3</v>
      </c>
      <c r="M105" s="5">
        <f t="shared" si="57"/>
        <v>-5</v>
      </c>
      <c r="N105" s="5">
        <f t="shared" si="57"/>
        <v>5</v>
      </c>
      <c r="O105" s="5">
        <f t="shared" si="57"/>
        <v>-5</v>
      </c>
      <c r="P105" s="5">
        <f t="shared" si="57"/>
        <v>2</v>
      </c>
      <c r="Q105" s="5">
        <f t="shared" si="57"/>
        <v>-2</v>
      </c>
      <c r="R105" s="5">
        <f t="shared" si="57"/>
        <v>8</v>
      </c>
      <c r="S105" s="5">
        <f t="shared" si="57"/>
        <v>0</v>
      </c>
      <c r="T105" s="5">
        <f t="shared" si="57"/>
        <v>-7</v>
      </c>
      <c r="U105" s="5">
        <f t="shared" si="57"/>
        <v>11</v>
      </c>
      <c r="V105" s="12">
        <f t="shared" si="60"/>
        <v>7</v>
      </c>
      <c r="W105" s="12">
        <f t="shared" si="61"/>
        <v>10</v>
      </c>
      <c r="X105" s="3">
        <f t="shared" si="62"/>
        <v>3</v>
      </c>
      <c r="Y105" s="4">
        <f t="shared" si="63"/>
        <v>2</v>
      </c>
      <c r="Z105" s="4">
        <v>5</v>
      </c>
      <c r="AA105" s="4">
        <f t="shared" si="64"/>
        <v>9</v>
      </c>
      <c r="AB105" s="10">
        <f t="shared" si="65"/>
        <v>19</v>
      </c>
    </row>
    <row r="106" spans="2:28" x14ac:dyDescent="0.3">
      <c r="B106" t="str">
        <f t="shared" si="58"/>
        <v>Matt Lawrence</v>
      </c>
      <c r="C106" s="5">
        <f t="shared" si="56"/>
        <v>4</v>
      </c>
      <c r="D106" s="5">
        <f t="shared" si="56"/>
        <v>4</v>
      </c>
      <c r="E106" s="5">
        <f t="shared" si="56"/>
        <v>5</v>
      </c>
      <c r="F106" s="5">
        <f t="shared" si="56"/>
        <v>3</v>
      </c>
      <c r="G106" s="5">
        <f t="shared" si="56"/>
        <v>-7</v>
      </c>
      <c r="H106" s="5">
        <f t="shared" si="56"/>
        <v>-5</v>
      </c>
      <c r="I106" s="5">
        <f t="shared" si="56"/>
        <v>9</v>
      </c>
      <c r="J106" s="5">
        <f t="shared" si="56"/>
        <v>-5</v>
      </c>
      <c r="K106" s="5">
        <f t="shared" si="56"/>
        <v>0</v>
      </c>
      <c r="L106" s="12">
        <f t="shared" si="59"/>
        <v>8</v>
      </c>
      <c r="M106" s="5">
        <f t="shared" si="57"/>
        <v>5</v>
      </c>
      <c r="N106" s="5">
        <f t="shared" si="57"/>
        <v>5</v>
      </c>
      <c r="O106" s="5">
        <f t="shared" si="57"/>
        <v>4</v>
      </c>
      <c r="P106" s="5">
        <f t="shared" si="57"/>
        <v>2</v>
      </c>
      <c r="Q106" s="5">
        <f t="shared" si="57"/>
        <v>-10</v>
      </c>
      <c r="R106" s="5">
        <f t="shared" si="57"/>
        <v>8</v>
      </c>
      <c r="S106" s="5">
        <f t="shared" si="57"/>
        <v>0</v>
      </c>
      <c r="T106" s="5">
        <f t="shared" si="57"/>
        <v>1</v>
      </c>
      <c r="U106" s="5">
        <f t="shared" si="57"/>
        <v>3</v>
      </c>
      <c r="V106" s="12">
        <f t="shared" si="60"/>
        <v>18</v>
      </c>
      <c r="W106" s="12">
        <f t="shared" si="61"/>
        <v>26</v>
      </c>
      <c r="X106" s="3">
        <f t="shared" si="62"/>
        <v>7.8</v>
      </c>
      <c r="Y106" s="4">
        <f t="shared" si="63"/>
        <v>2</v>
      </c>
      <c r="Z106" s="4">
        <v>5</v>
      </c>
      <c r="AA106" s="4">
        <f t="shared" si="64"/>
        <v>9</v>
      </c>
      <c r="AB106" s="10">
        <f t="shared" si="65"/>
        <v>23.8</v>
      </c>
    </row>
    <row r="107" spans="2:28" x14ac:dyDescent="0.3">
      <c r="B107" t="str">
        <f t="shared" si="58"/>
        <v>Jerry Flynn</v>
      </c>
      <c r="C107" s="5">
        <f t="shared" si="56"/>
        <v>6</v>
      </c>
      <c r="D107" s="5">
        <f t="shared" si="56"/>
        <v>-2</v>
      </c>
      <c r="E107" s="5">
        <f t="shared" si="56"/>
        <v>-10</v>
      </c>
      <c r="F107" s="5">
        <f t="shared" si="56"/>
        <v>3</v>
      </c>
      <c r="G107" s="5">
        <f t="shared" si="56"/>
        <v>0</v>
      </c>
      <c r="H107" s="5">
        <f t="shared" si="56"/>
        <v>2</v>
      </c>
      <c r="I107" s="5">
        <f t="shared" si="56"/>
        <v>-1</v>
      </c>
      <c r="J107" s="5">
        <f t="shared" si="56"/>
        <v>6</v>
      </c>
      <c r="K107" s="5">
        <f t="shared" si="56"/>
        <v>-10</v>
      </c>
      <c r="L107" s="12">
        <f t="shared" si="59"/>
        <v>-6</v>
      </c>
      <c r="M107" s="5">
        <f t="shared" si="57"/>
        <v>-11</v>
      </c>
      <c r="N107" s="5">
        <f t="shared" si="57"/>
        <v>-5</v>
      </c>
      <c r="O107" s="5">
        <f t="shared" si="57"/>
        <v>-5</v>
      </c>
      <c r="P107" s="5">
        <f t="shared" si="57"/>
        <v>2</v>
      </c>
      <c r="Q107" s="5">
        <f t="shared" si="57"/>
        <v>-2</v>
      </c>
      <c r="R107" s="5">
        <f t="shared" si="57"/>
        <v>8</v>
      </c>
      <c r="S107" s="5">
        <f t="shared" si="57"/>
        <v>0</v>
      </c>
      <c r="T107" s="5">
        <f t="shared" si="57"/>
        <v>-7</v>
      </c>
      <c r="U107" s="5">
        <f t="shared" si="57"/>
        <v>3</v>
      </c>
      <c r="V107" s="12">
        <f t="shared" si="60"/>
        <v>-17</v>
      </c>
      <c r="W107" s="12">
        <f t="shared" si="61"/>
        <v>-23</v>
      </c>
      <c r="X107" s="3">
        <f t="shared" si="62"/>
        <v>-6.8999999999999995</v>
      </c>
      <c r="Y107" s="4">
        <f t="shared" si="63"/>
        <v>2</v>
      </c>
      <c r="Z107" s="4">
        <v>5</v>
      </c>
      <c r="AA107" s="4">
        <f t="shared" si="64"/>
        <v>9</v>
      </c>
      <c r="AB107" s="10">
        <f t="shared" si="65"/>
        <v>9.1000000000000014</v>
      </c>
    </row>
    <row r="108" spans="2:28" x14ac:dyDescent="0.3">
      <c r="B108" t="str">
        <f t="shared" si="58"/>
        <v>Mike Flynn</v>
      </c>
      <c r="C108" s="5">
        <f t="shared" si="56"/>
        <v>-4</v>
      </c>
      <c r="D108" s="5">
        <f t="shared" si="56"/>
        <v>4</v>
      </c>
      <c r="E108" s="5">
        <f t="shared" si="56"/>
        <v>5</v>
      </c>
      <c r="F108" s="5">
        <f t="shared" si="56"/>
        <v>3</v>
      </c>
      <c r="G108" s="5">
        <f t="shared" si="56"/>
        <v>0</v>
      </c>
      <c r="H108" s="5">
        <f t="shared" si="56"/>
        <v>8</v>
      </c>
      <c r="I108" s="5">
        <f t="shared" si="56"/>
        <v>-1</v>
      </c>
      <c r="J108" s="5">
        <f t="shared" si="56"/>
        <v>-5</v>
      </c>
      <c r="K108" s="5">
        <f t="shared" si="56"/>
        <v>0</v>
      </c>
      <c r="L108" s="12">
        <f t="shared" si="59"/>
        <v>10</v>
      </c>
      <c r="M108" s="5">
        <f t="shared" si="57"/>
        <v>-5</v>
      </c>
      <c r="N108" s="5">
        <f t="shared" si="57"/>
        <v>-5</v>
      </c>
      <c r="O108" s="5">
        <f t="shared" si="57"/>
        <v>4</v>
      </c>
      <c r="P108" s="5">
        <f t="shared" si="57"/>
        <v>2</v>
      </c>
      <c r="Q108" s="5">
        <f t="shared" si="57"/>
        <v>8</v>
      </c>
      <c r="R108" s="5">
        <f t="shared" si="57"/>
        <v>4</v>
      </c>
      <c r="S108" s="5">
        <f t="shared" si="57"/>
        <v>0</v>
      </c>
      <c r="T108" s="5">
        <f t="shared" si="57"/>
        <v>-7</v>
      </c>
      <c r="U108" s="5">
        <f t="shared" si="57"/>
        <v>3</v>
      </c>
      <c r="V108" s="12">
        <f t="shared" si="60"/>
        <v>4</v>
      </c>
      <c r="W108" s="12">
        <f t="shared" si="61"/>
        <v>14</v>
      </c>
      <c r="X108" s="3">
        <f t="shared" si="62"/>
        <v>4.2</v>
      </c>
      <c r="Y108" s="4">
        <f t="shared" si="63"/>
        <v>2</v>
      </c>
      <c r="Z108" s="4">
        <v>5</v>
      </c>
      <c r="AA108" s="4">
        <f t="shared" si="64"/>
        <v>9</v>
      </c>
      <c r="AB108" s="10">
        <f t="shared" si="65"/>
        <v>20.2</v>
      </c>
    </row>
    <row r="109" spans="2:28" x14ac:dyDescent="0.3">
      <c r="B109" t="str">
        <f t="shared" si="58"/>
        <v>Sean Flynn</v>
      </c>
      <c r="C109" s="5">
        <f t="shared" si="56"/>
        <v>-15</v>
      </c>
      <c r="D109" s="5">
        <f t="shared" si="56"/>
        <v>-7</v>
      </c>
      <c r="E109" s="5">
        <f t="shared" si="56"/>
        <v>-4</v>
      </c>
      <c r="F109" s="5">
        <f t="shared" si="56"/>
        <v>-6</v>
      </c>
      <c r="G109" s="5">
        <f t="shared" si="56"/>
        <v>0</v>
      </c>
      <c r="H109" s="5">
        <f t="shared" si="56"/>
        <v>-5</v>
      </c>
      <c r="I109" s="5">
        <f t="shared" si="56"/>
        <v>-1</v>
      </c>
      <c r="J109" s="5">
        <f t="shared" si="56"/>
        <v>6</v>
      </c>
      <c r="K109" s="5">
        <f t="shared" si="56"/>
        <v>0</v>
      </c>
      <c r="L109" s="12">
        <f t="shared" si="59"/>
        <v>-32</v>
      </c>
      <c r="M109" s="5">
        <f t="shared" si="57"/>
        <v>5</v>
      </c>
      <c r="N109" s="5">
        <f t="shared" si="57"/>
        <v>5</v>
      </c>
      <c r="O109" s="5">
        <f t="shared" si="57"/>
        <v>10</v>
      </c>
      <c r="P109" s="5">
        <f t="shared" si="57"/>
        <v>2</v>
      </c>
      <c r="Q109" s="5">
        <f t="shared" si="57"/>
        <v>8</v>
      </c>
      <c r="R109" s="5">
        <f t="shared" si="57"/>
        <v>-10</v>
      </c>
      <c r="S109" s="5">
        <f t="shared" si="57"/>
        <v>0</v>
      </c>
      <c r="T109" s="5">
        <f t="shared" si="57"/>
        <v>9</v>
      </c>
      <c r="U109" s="5">
        <f t="shared" si="57"/>
        <v>-11</v>
      </c>
      <c r="V109" s="12">
        <f t="shared" si="60"/>
        <v>18</v>
      </c>
      <c r="W109" s="12">
        <f t="shared" si="61"/>
        <v>-14</v>
      </c>
      <c r="X109" s="3">
        <f t="shared" si="62"/>
        <v>-4.2</v>
      </c>
      <c r="Y109" s="4">
        <f t="shared" si="63"/>
        <v>2</v>
      </c>
      <c r="Z109" s="4">
        <v>5</v>
      </c>
      <c r="AA109" s="4">
        <f t="shared" si="64"/>
        <v>9</v>
      </c>
      <c r="AB109" s="10">
        <f t="shared" si="65"/>
        <v>11.8</v>
      </c>
    </row>
    <row r="110" spans="2:28" x14ac:dyDescent="0.3">
      <c r="B110" t="str">
        <f t="shared" si="58"/>
        <v>Kevin Fitzgerald</v>
      </c>
      <c r="C110" s="5">
        <f t="shared" si="56"/>
        <v>-4</v>
      </c>
      <c r="D110" s="5">
        <f t="shared" si="56"/>
        <v>-7</v>
      </c>
      <c r="E110" s="5">
        <f t="shared" si="56"/>
        <v>11</v>
      </c>
      <c r="F110" s="5">
        <f t="shared" si="56"/>
        <v>3</v>
      </c>
      <c r="G110" s="5">
        <f t="shared" si="56"/>
        <v>0</v>
      </c>
      <c r="H110" s="5">
        <f t="shared" si="56"/>
        <v>8</v>
      </c>
      <c r="I110" s="5">
        <f t="shared" si="56"/>
        <v>9</v>
      </c>
      <c r="J110" s="5">
        <f t="shared" si="56"/>
        <v>-11</v>
      </c>
      <c r="K110" s="5">
        <f t="shared" si="56"/>
        <v>0</v>
      </c>
      <c r="L110" s="12">
        <f t="shared" si="59"/>
        <v>9</v>
      </c>
      <c r="M110" s="5">
        <f t="shared" si="57"/>
        <v>-5</v>
      </c>
      <c r="N110" s="5">
        <f t="shared" si="57"/>
        <v>-5</v>
      </c>
      <c r="O110" s="5">
        <f t="shared" si="57"/>
        <v>-5</v>
      </c>
      <c r="P110" s="5">
        <f t="shared" si="57"/>
        <v>-10</v>
      </c>
      <c r="Q110" s="5">
        <f t="shared" si="57"/>
        <v>-2</v>
      </c>
      <c r="R110" s="5">
        <f t="shared" si="57"/>
        <v>-9</v>
      </c>
      <c r="S110" s="5">
        <f t="shared" si="57"/>
        <v>0</v>
      </c>
      <c r="T110" s="5">
        <f t="shared" si="57"/>
        <v>-11</v>
      </c>
      <c r="U110" s="5">
        <f t="shared" si="57"/>
        <v>3</v>
      </c>
      <c r="V110" s="12">
        <f t="shared" si="60"/>
        <v>-44</v>
      </c>
      <c r="W110" s="12">
        <f t="shared" si="61"/>
        <v>-35</v>
      </c>
      <c r="X110" s="3">
        <f t="shared" si="62"/>
        <v>-10.5</v>
      </c>
      <c r="Y110" s="4">
        <f t="shared" si="63"/>
        <v>2</v>
      </c>
      <c r="Z110" s="4">
        <v>5</v>
      </c>
      <c r="AA110" s="4">
        <f t="shared" si="64"/>
        <v>9</v>
      </c>
      <c r="AB110" s="10">
        <f t="shared" si="65"/>
        <v>5.5</v>
      </c>
    </row>
    <row r="111" spans="2:28" x14ac:dyDescent="0.3">
      <c r="B111" t="str">
        <f t="shared" si="58"/>
        <v>Richard McGovern</v>
      </c>
      <c r="C111" s="5">
        <f t="shared" si="56"/>
        <v>1</v>
      </c>
      <c r="D111" s="5">
        <f t="shared" si="56"/>
        <v>14</v>
      </c>
      <c r="E111" s="5">
        <f t="shared" si="56"/>
        <v>9</v>
      </c>
      <c r="F111" s="5">
        <f t="shared" si="56"/>
        <v>2</v>
      </c>
      <c r="G111" s="5">
        <f t="shared" si="56"/>
        <v>2</v>
      </c>
      <c r="H111" s="5">
        <f t="shared" si="56"/>
        <v>0</v>
      </c>
      <c r="I111" s="5">
        <f t="shared" si="56"/>
        <v>0</v>
      </c>
      <c r="J111" s="5">
        <f t="shared" si="56"/>
        <v>0</v>
      </c>
      <c r="K111" s="5">
        <f t="shared" si="56"/>
        <v>0</v>
      </c>
      <c r="L111" s="12">
        <f t="shared" si="59"/>
        <v>28</v>
      </c>
      <c r="M111" s="5">
        <f t="shared" si="57"/>
        <v>0</v>
      </c>
      <c r="N111" s="5">
        <f t="shared" si="57"/>
        <v>0</v>
      </c>
      <c r="O111" s="5">
        <f t="shared" si="57"/>
        <v>0</v>
      </c>
      <c r="P111" s="5">
        <f t="shared" si="57"/>
        <v>0</v>
      </c>
      <c r="Q111" s="5">
        <f t="shared" si="57"/>
        <v>0</v>
      </c>
      <c r="R111" s="5">
        <f t="shared" si="57"/>
        <v>0</v>
      </c>
      <c r="S111" s="5">
        <f t="shared" si="57"/>
        <v>0</v>
      </c>
      <c r="T111" s="5">
        <f t="shared" si="57"/>
        <v>0</v>
      </c>
      <c r="U111" s="5">
        <f t="shared" si="57"/>
        <v>0</v>
      </c>
      <c r="V111" s="12">
        <f t="shared" si="60"/>
        <v>0</v>
      </c>
      <c r="W111" s="12">
        <f t="shared" si="61"/>
        <v>28</v>
      </c>
      <c r="X111" s="3">
        <f t="shared" si="62"/>
        <v>8.4</v>
      </c>
      <c r="Y111" s="4">
        <f t="shared" si="63"/>
        <v>2</v>
      </c>
      <c r="Z111" s="4">
        <v>5</v>
      </c>
      <c r="AA111" s="4">
        <f t="shared" si="64"/>
        <v>9</v>
      </c>
      <c r="AB111" s="10">
        <f t="shared" si="65"/>
        <v>24.4</v>
      </c>
    </row>
    <row r="112" spans="2:28" x14ac:dyDescent="0.3">
      <c r="B112" t="str">
        <f t="shared" si="58"/>
        <v>Mike Fitzgerald</v>
      </c>
      <c r="C112" s="5">
        <f t="shared" si="56"/>
        <v>1</v>
      </c>
      <c r="D112" s="5">
        <f t="shared" si="56"/>
        <v>15</v>
      </c>
      <c r="E112" s="5">
        <f t="shared" si="56"/>
        <v>0</v>
      </c>
      <c r="F112" s="5">
        <f t="shared" si="56"/>
        <v>2</v>
      </c>
      <c r="G112" s="5">
        <f t="shared" si="56"/>
        <v>2</v>
      </c>
      <c r="H112" s="5">
        <f t="shared" si="56"/>
        <v>0</v>
      </c>
      <c r="I112" s="5">
        <f t="shared" si="56"/>
        <v>0</v>
      </c>
      <c r="J112" s="5">
        <f t="shared" si="56"/>
        <v>0</v>
      </c>
      <c r="K112" s="5">
        <f t="shared" si="56"/>
        <v>0</v>
      </c>
      <c r="L112" s="12">
        <f t="shared" si="59"/>
        <v>20</v>
      </c>
      <c r="M112" s="5">
        <f t="shared" si="57"/>
        <v>0</v>
      </c>
      <c r="N112" s="5">
        <f t="shared" si="57"/>
        <v>0</v>
      </c>
      <c r="O112" s="5">
        <f t="shared" si="57"/>
        <v>0</v>
      </c>
      <c r="P112" s="5">
        <f t="shared" si="57"/>
        <v>0</v>
      </c>
      <c r="Q112" s="5">
        <f t="shared" si="57"/>
        <v>0</v>
      </c>
      <c r="R112" s="5">
        <f t="shared" si="57"/>
        <v>0</v>
      </c>
      <c r="S112" s="5">
        <f t="shared" si="57"/>
        <v>0</v>
      </c>
      <c r="T112" s="5">
        <f t="shared" si="57"/>
        <v>0</v>
      </c>
      <c r="U112" s="5">
        <f t="shared" si="57"/>
        <v>0</v>
      </c>
      <c r="V112" s="12">
        <f t="shared" si="60"/>
        <v>0</v>
      </c>
      <c r="W112" s="12">
        <f t="shared" si="61"/>
        <v>20</v>
      </c>
      <c r="X112" s="3">
        <f t="shared" si="62"/>
        <v>6</v>
      </c>
      <c r="Y112" s="4">
        <f t="shared" si="63"/>
        <v>2</v>
      </c>
      <c r="Z112" s="4">
        <v>5</v>
      </c>
      <c r="AA112" s="4">
        <f t="shared" si="64"/>
        <v>9</v>
      </c>
      <c r="AB112" s="10">
        <f t="shared" si="65"/>
        <v>22</v>
      </c>
    </row>
    <row r="113" spans="2:28" x14ac:dyDescent="0.3">
      <c r="B113" t="str">
        <f t="shared" si="58"/>
        <v>Matt Brauer</v>
      </c>
      <c r="C113" s="5">
        <f t="shared" si="56"/>
        <v>1</v>
      </c>
      <c r="D113" s="5">
        <f t="shared" si="56"/>
        <v>1</v>
      </c>
      <c r="E113" s="5">
        <f t="shared" si="56"/>
        <v>3</v>
      </c>
      <c r="F113" s="5">
        <f t="shared" si="56"/>
        <v>2</v>
      </c>
      <c r="G113" s="5">
        <f t="shared" si="56"/>
        <v>0</v>
      </c>
      <c r="H113" s="5">
        <f t="shared" si="56"/>
        <v>0</v>
      </c>
      <c r="I113" s="5">
        <f t="shared" si="56"/>
        <v>0</v>
      </c>
      <c r="J113" s="5">
        <f t="shared" si="56"/>
        <v>0</v>
      </c>
      <c r="K113" s="5">
        <f t="shared" si="56"/>
        <v>0</v>
      </c>
      <c r="L113" s="12">
        <f t="shared" si="59"/>
        <v>7</v>
      </c>
      <c r="M113" s="5">
        <f t="shared" si="57"/>
        <v>0</v>
      </c>
      <c r="N113" s="5">
        <f t="shared" si="57"/>
        <v>0</v>
      </c>
      <c r="O113" s="5">
        <f t="shared" si="57"/>
        <v>0</v>
      </c>
      <c r="P113" s="5">
        <f t="shared" si="57"/>
        <v>0</v>
      </c>
      <c r="Q113" s="5">
        <f t="shared" si="57"/>
        <v>0</v>
      </c>
      <c r="R113" s="5">
        <f t="shared" si="57"/>
        <v>0</v>
      </c>
      <c r="S113" s="5">
        <f t="shared" si="57"/>
        <v>0</v>
      </c>
      <c r="T113" s="5">
        <f t="shared" si="57"/>
        <v>0</v>
      </c>
      <c r="U113" s="5">
        <f t="shared" si="57"/>
        <v>0</v>
      </c>
      <c r="V113" s="12">
        <f t="shared" si="60"/>
        <v>0</v>
      </c>
      <c r="W113" s="12">
        <f t="shared" si="61"/>
        <v>7</v>
      </c>
      <c r="X113" s="3">
        <f t="shared" si="62"/>
        <v>2.1</v>
      </c>
      <c r="Y113" s="4">
        <f t="shared" si="63"/>
        <v>2</v>
      </c>
      <c r="Z113" s="4">
        <v>5</v>
      </c>
      <c r="AA113" s="4">
        <f t="shared" si="64"/>
        <v>9</v>
      </c>
      <c r="AB113" s="10">
        <f t="shared" si="65"/>
        <v>18.100000000000001</v>
      </c>
    </row>
    <row r="114" spans="2:28" x14ac:dyDescent="0.3">
      <c r="B114" t="str">
        <f t="shared" si="58"/>
        <v>Blake Dougan</v>
      </c>
      <c r="C114" s="5">
        <f t="shared" si="56"/>
        <v>0</v>
      </c>
      <c r="D114" s="5">
        <f t="shared" si="56"/>
        <v>0</v>
      </c>
      <c r="E114" s="5">
        <f t="shared" si="56"/>
        <v>0</v>
      </c>
      <c r="F114" s="5">
        <f t="shared" si="56"/>
        <v>0</v>
      </c>
      <c r="G114" s="5">
        <f t="shared" si="56"/>
        <v>0</v>
      </c>
      <c r="H114" s="5">
        <f t="shared" si="56"/>
        <v>0</v>
      </c>
      <c r="I114" s="5">
        <f t="shared" si="56"/>
        <v>0</v>
      </c>
      <c r="J114" s="5">
        <f t="shared" si="56"/>
        <v>0</v>
      </c>
      <c r="K114" s="5">
        <f t="shared" si="56"/>
        <v>0</v>
      </c>
      <c r="L114" s="12">
        <f t="shared" si="59"/>
        <v>0</v>
      </c>
      <c r="M114" s="5">
        <f t="shared" si="57"/>
        <v>0</v>
      </c>
      <c r="N114" s="5">
        <f t="shared" si="57"/>
        <v>0</v>
      </c>
      <c r="O114" s="5">
        <f t="shared" si="57"/>
        <v>0</v>
      </c>
      <c r="P114" s="5">
        <f t="shared" si="57"/>
        <v>0</v>
      </c>
      <c r="Q114" s="5">
        <f t="shared" si="57"/>
        <v>0</v>
      </c>
      <c r="R114" s="5">
        <f t="shared" si="57"/>
        <v>0</v>
      </c>
      <c r="S114" s="5">
        <f t="shared" si="57"/>
        <v>0</v>
      </c>
      <c r="T114" s="5">
        <f t="shared" si="57"/>
        <v>0</v>
      </c>
      <c r="U114" s="5">
        <f t="shared" si="57"/>
        <v>0</v>
      </c>
      <c r="V114" s="12">
        <f t="shared" si="60"/>
        <v>0</v>
      </c>
      <c r="W114" s="12">
        <f t="shared" si="61"/>
        <v>0</v>
      </c>
      <c r="X114" s="3">
        <f t="shared" si="62"/>
        <v>0</v>
      </c>
      <c r="Y114" s="4">
        <f t="shared" si="63"/>
        <v>2</v>
      </c>
      <c r="Z114" s="4">
        <v>5</v>
      </c>
      <c r="AA114" s="4">
        <f t="shared" si="64"/>
        <v>9</v>
      </c>
      <c r="AB114" s="10">
        <f t="shared" si="65"/>
        <v>16</v>
      </c>
    </row>
    <row r="115" spans="2:28" x14ac:dyDescent="0.3">
      <c r="B115" t="str">
        <f t="shared" si="58"/>
        <v>Mike Dougan</v>
      </c>
      <c r="C115" s="5">
        <f t="shared" ref="C115:K120" si="66">+C67+C91</f>
        <v>0</v>
      </c>
      <c r="D115" s="5">
        <f t="shared" si="66"/>
        <v>0</v>
      </c>
      <c r="E115" s="5">
        <f t="shared" si="66"/>
        <v>0</v>
      </c>
      <c r="F115" s="5">
        <f t="shared" si="66"/>
        <v>0</v>
      </c>
      <c r="G115" s="5">
        <f t="shared" si="66"/>
        <v>0</v>
      </c>
      <c r="H115" s="5">
        <f t="shared" si="66"/>
        <v>0</v>
      </c>
      <c r="I115" s="5">
        <f t="shared" si="66"/>
        <v>0</v>
      </c>
      <c r="J115" s="5">
        <f t="shared" si="66"/>
        <v>0</v>
      </c>
      <c r="K115" s="5">
        <f t="shared" si="66"/>
        <v>0</v>
      </c>
      <c r="L115" s="12">
        <f t="shared" si="59"/>
        <v>0</v>
      </c>
      <c r="M115" s="5">
        <f t="shared" ref="M115:U120" si="67">+M67+M91</f>
        <v>0</v>
      </c>
      <c r="N115" s="5">
        <f t="shared" si="67"/>
        <v>0</v>
      </c>
      <c r="O115" s="5">
        <f t="shared" si="67"/>
        <v>0</v>
      </c>
      <c r="P115" s="5">
        <f t="shared" si="67"/>
        <v>0</v>
      </c>
      <c r="Q115" s="5">
        <f t="shared" si="67"/>
        <v>0</v>
      </c>
      <c r="R115" s="5">
        <f t="shared" si="67"/>
        <v>0</v>
      </c>
      <c r="S115" s="5">
        <f t="shared" si="67"/>
        <v>0</v>
      </c>
      <c r="T115" s="5">
        <f t="shared" si="67"/>
        <v>0</v>
      </c>
      <c r="U115" s="5">
        <f t="shared" si="67"/>
        <v>0</v>
      </c>
      <c r="V115" s="12">
        <f t="shared" si="60"/>
        <v>0</v>
      </c>
      <c r="W115" s="12">
        <f t="shared" si="61"/>
        <v>0</v>
      </c>
      <c r="X115" s="3">
        <f t="shared" si="62"/>
        <v>0</v>
      </c>
      <c r="Y115" s="4">
        <f t="shared" si="63"/>
        <v>2</v>
      </c>
      <c r="Z115" s="4">
        <v>5</v>
      </c>
      <c r="AA115" s="4">
        <f t="shared" si="64"/>
        <v>9</v>
      </c>
      <c r="AB115" s="9">
        <f>SUM(AB99:AB114)</f>
        <v>283</v>
      </c>
    </row>
    <row r="116" spans="2:28" x14ac:dyDescent="0.3">
      <c r="B116" t="str">
        <f t="shared" si="58"/>
        <v>TJ Williams</v>
      </c>
      <c r="C116" s="5">
        <f t="shared" si="66"/>
        <v>0</v>
      </c>
      <c r="D116" s="5">
        <f t="shared" si="66"/>
        <v>0</v>
      </c>
      <c r="E116" s="5">
        <f t="shared" si="66"/>
        <v>0</v>
      </c>
      <c r="F116" s="5">
        <f t="shared" si="66"/>
        <v>0</v>
      </c>
      <c r="G116" s="5">
        <f t="shared" si="66"/>
        <v>0</v>
      </c>
      <c r="H116" s="5">
        <f t="shared" si="66"/>
        <v>0</v>
      </c>
      <c r="I116" s="5">
        <f t="shared" si="66"/>
        <v>0</v>
      </c>
      <c r="J116" s="5">
        <f t="shared" si="66"/>
        <v>0</v>
      </c>
      <c r="K116" s="5">
        <f t="shared" si="66"/>
        <v>0</v>
      </c>
      <c r="L116" s="12">
        <f t="shared" si="59"/>
        <v>0</v>
      </c>
      <c r="M116" s="5">
        <f t="shared" si="67"/>
        <v>0</v>
      </c>
      <c r="N116" s="5">
        <f t="shared" si="67"/>
        <v>0</v>
      </c>
      <c r="O116" s="5">
        <f t="shared" si="67"/>
        <v>0</v>
      </c>
      <c r="P116" s="5">
        <f t="shared" si="67"/>
        <v>0</v>
      </c>
      <c r="Q116" s="5">
        <f t="shared" si="67"/>
        <v>0</v>
      </c>
      <c r="R116" s="5">
        <f t="shared" si="67"/>
        <v>0</v>
      </c>
      <c r="S116" s="5">
        <f t="shared" si="67"/>
        <v>0</v>
      </c>
      <c r="T116" s="5">
        <f t="shared" si="67"/>
        <v>0</v>
      </c>
      <c r="U116" s="5">
        <f t="shared" si="67"/>
        <v>0</v>
      </c>
      <c r="V116" s="12">
        <f t="shared" si="60"/>
        <v>0</v>
      </c>
      <c r="W116" s="12">
        <f t="shared" si="61"/>
        <v>0</v>
      </c>
      <c r="X116" s="3">
        <f t="shared" si="62"/>
        <v>0</v>
      </c>
      <c r="Y116" s="4">
        <f t="shared" si="63"/>
        <v>2</v>
      </c>
      <c r="Z116" s="4">
        <v>5</v>
      </c>
      <c r="AA116" s="4">
        <f t="shared" si="64"/>
        <v>9</v>
      </c>
    </row>
    <row r="117" spans="2:28" x14ac:dyDescent="0.3">
      <c r="B117" t="str">
        <f t="shared" si="58"/>
        <v>Brian McGovern</v>
      </c>
      <c r="C117" s="5">
        <f t="shared" si="66"/>
        <v>-12</v>
      </c>
      <c r="D117" s="5">
        <f t="shared" si="66"/>
        <v>0</v>
      </c>
      <c r="E117" s="5">
        <f t="shared" si="66"/>
        <v>0</v>
      </c>
      <c r="F117" s="5">
        <f t="shared" si="66"/>
        <v>0</v>
      </c>
      <c r="G117" s="5">
        <f t="shared" si="66"/>
        <v>0</v>
      </c>
      <c r="H117" s="5">
        <f t="shared" si="66"/>
        <v>0</v>
      </c>
      <c r="I117" s="5">
        <f t="shared" si="66"/>
        <v>0</v>
      </c>
      <c r="J117" s="5">
        <f t="shared" si="66"/>
        <v>0</v>
      </c>
      <c r="K117" s="5">
        <f t="shared" si="66"/>
        <v>0</v>
      </c>
      <c r="L117" s="12">
        <f t="shared" si="59"/>
        <v>-12</v>
      </c>
      <c r="M117" s="5">
        <f t="shared" si="67"/>
        <v>0</v>
      </c>
      <c r="N117" s="5">
        <f t="shared" si="67"/>
        <v>0</v>
      </c>
      <c r="O117" s="5">
        <f t="shared" si="67"/>
        <v>0</v>
      </c>
      <c r="P117" s="5">
        <f t="shared" si="67"/>
        <v>0</v>
      </c>
      <c r="Q117" s="5">
        <f t="shared" si="67"/>
        <v>0</v>
      </c>
      <c r="R117" s="5">
        <f t="shared" si="67"/>
        <v>0</v>
      </c>
      <c r="S117" s="5">
        <f t="shared" si="67"/>
        <v>0</v>
      </c>
      <c r="T117" s="5">
        <f t="shared" si="67"/>
        <v>0</v>
      </c>
      <c r="U117" s="5">
        <f t="shared" si="67"/>
        <v>0</v>
      </c>
      <c r="V117" s="12">
        <f t="shared" si="60"/>
        <v>0</v>
      </c>
      <c r="W117" s="12">
        <f t="shared" si="61"/>
        <v>-12</v>
      </c>
      <c r="X117" s="3">
        <f t="shared" si="62"/>
        <v>-3.5999999999999996</v>
      </c>
      <c r="Y117" s="4">
        <f t="shared" si="63"/>
        <v>2</v>
      </c>
      <c r="Z117" s="4">
        <v>5</v>
      </c>
      <c r="AA117" s="4">
        <f t="shared" si="64"/>
        <v>9</v>
      </c>
    </row>
    <row r="118" spans="2:28" x14ac:dyDescent="0.3">
      <c r="B118" t="str">
        <f t="shared" si="58"/>
        <v>Dave Keyser</v>
      </c>
      <c r="C118" s="5">
        <f t="shared" si="66"/>
        <v>-8</v>
      </c>
      <c r="D118" s="5">
        <f t="shared" si="66"/>
        <v>6</v>
      </c>
      <c r="E118" s="5">
        <f t="shared" si="66"/>
        <v>14</v>
      </c>
      <c r="F118" s="5">
        <f t="shared" si="66"/>
        <v>0</v>
      </c>
      <c r="G118" s="5">
        <f t="shared" si="66"/>
        <v>0</v>
      </c>
      <c r="H118" s="5">
        <f t="shared" si="66"/>
        <v>0</v>
      </c>
      <c r="I118" s="5">
        <f t="shared" si="66"/>
        <v>0</v>
      </c>
      <c r="J118" s="5">
        <f t="shared" si="66"/>
        <v>0</v>
      </c>
      <c r="K118" s="5">
        <f t="shared" si="66"/>
        <v>0</v>
      </c>
      <c r="L118" s="12">
        <f t="shared" si="59"/>
        <v>12</v>
      </c>
      <c r="M118" s="5">
        <f t="shared" si="67"/>
        <v>0</v>
      </c>
      <c r="N118" s="5">
        <f t="shared" si="67"/>
        <v>0</v>
      </c>
      <c r="O118" s="5">
        <f t="shared" si="67"/>
        <v>0</v>
      </c>
      <c r="P118" s="5">
        <f t="shared" si="67"/>
        <v>0</v>
      </c>
      <c r="Q118" s="5">
        <f t="shared" si="67"/>
        <v>0</v>
      </c>
      <c r="R118" s="5">
        <f t="shared" si="67"/>
        <v>0</v>
      </c>
      <c r="S118" s="5">
        <f t="shared" si="67"/>
        <v>0</v>
      </c>
      <c r="T118" s="5">
        <f t="shared" si="67"/>
        <v>0</v>
      </c>
      <c r="U118" s="5">
        <f t="shared" si="67"/>
        <v>0</v>
      </c>
      <c r="V118" s="12">
        <f t="shared" si="60"/>
        <v>0</v>
      </c>
      <c r="W118" s="12">
        <f t="shared" si="61"/>
        <v>12</v>
      </c>
      <c r="X118" s="3">
        <f t="shared" si="62"/>
        <v>3.5999999999999996</v>
      </c>
      <c r="Y118" s="4">
        <f t="shared" si="63"/>
        <v>2</v>
      </c>
      <c r="Z118" s="4">
        <v>5</v>
      </c>
      <c r="AA118" s="4">
        <f t="shared" si="64"/>
        <v>9</v>
      </c>
    </row>
    <row r="119" spans="2:28" x14ac:dyDescent="0.3">
      <c r="B119" t="str">
        <f t="shared" si="58"/>
        <v>Jack Sullivan</v>
      </c>
      <c r="C119" s="5">
        <f t="shared" si="66"/>
        <v>-12</v>
      </c>
      <c r="D119" s="5">
        <f t="shared" si="66"/>
        <v>0</v>
      </c>
      <c r="E119" s="5">
        <f t="shared" si="66"/>
        <v>0</v>
      </c>
      <c r="F119" s="5">
        <f t="shared" si="66"/>
        <v>0</v>
      </c>
      <c r="G119" s="5">
        <f t="shared" si="66"/>
        <v>0</v>
      </c>
      <c r="H119" s="5">
        <f t="shared" si="66"/>
        <v>0</v>
      </c>
      <c r="I119" s="5">
        <f t="shared" si="66"/>
        <v>0</v>
      </c>
      <c r="J119" s="5">
        <f t="shared" si="66"/>
        <v>0</v>
      </c>
      <c r="K119" s="5">
        <f t="shared" si="66"/>
        <v>0</v>
      </c>
      <c r="L119" s="12">
        <f t="shared" si="59"/>
        <v>-12</v>
      </c>
      <c r="M119" s="5">
        <f t="shared" si="67"/>
        <v>0</v>
      </c>
      <c r="N119" s="5">
        <f t="shared" si="67"/>
        <v>0</v>
      </c>
      <c r="O119" s="5">
        <f t="shared" si="67"/>
        <v>0</v>
      </c>
      <c r="P119" s="5">
        <f t="shared" si="67"/>
        <v>0</v>
      </c>
      <c r="Q119" s="5">
        <f t="shared" si="67"/>
        <v>0</v>
      </c>
      <c r="R119" s="5">
        <f t="shared" si="67"/>
        <v>0</v>
      </c>
      <c r="S119" s="5">
        <f t="shared" si="67"/>
        <v>0</v>
      </c>
      <c r="T119" s="5">
        <f t="shared" si="67"/>
        <v>0</v>
      </c>
      <c r="U119" s="5">
        <f t="shared" si="67"/>
        <v>0</v>
      </c>
      <c r="V119" s="12">
        <f t="shared" si="60"/>
        <v>0</v>
      </c>
      <c r="W119" s="12">
        <f t="shared" si="61"/>
        <v>-12</v>
      </c>
      <c r="X119" s="3">
        <f t="shared" si="62"/>
        <v>-3.5999999999999996</v>
      </c>
      <c r="Y119" s="4">
        <f t="shared" si="63"/>
        <v>2</v>
      </c>
      <c r="Z119" s="4">
        <v>5</v>
      </c>
      <c r="AA119" s="4">
        <f t="shared" si="64"/>
        <v>9</v>
      </c>
    </row>
    <row r="120" spans="2:28" x14ac:dyDescent="0.3">
      <c r="B120" t="str">
        <f t="shared" si="58"/>
        <v>Chris Flynn</v>
      </c>
      <c r="C120" s="5">
        <f t="shared" si="66"/>
        <v>-8</v>
      </c>
      <c r="D120" s="5">
        <f t="shared" si="66"/>
        <v>0</v>
      </c>
      <c r="E120" s="5">
        <f t="shared" si="66"/>
        <v>0</v>
      </c>
      <c r="F120" s="5">
        <f t="shared" si="66"/>
        <v>0</v>
      </c>
      <c r="G120" s="5">
        <f t="shared" si="66"/>
        <v>0</v>
      </c>
      <c r="H120" s="5">
        <f t="shared" si="66"/>
        <v>0</v>
      </c>
      <c r="I120" s="5">
        <f t="shared" si="66"/>
        <v>0</v>
      </c>
      <c r="J120" s="5">
        <f t="shared" si="66"/>
        <v>0</v>
      </c>
      <c r="K120" s="5">
        <f t="shared" si="66"/>
        <v>0</v>
      </c>
      <c r="L120" s="12">
        <f t="shared" si="59"/>
        <v>-8</v>
      </c>
      <c r="M120" s="5">
        <f t="shared" si="67"/>
        <v>0</v>
      </c>
      <c r="N120" s="5">
        <f t="shared" si="67"/>
        <v>0</v>
      </c>
      <c r="O120" s="5">
        <f t="shared" si="67"/>
        <v>0</v>
      </c>
      <c r="P120" s="5">
        <f t="shared" si="67"/>
        <v>0</v>
      </c>
      <c r="Q120" s="5">
        <f t="shared" si="67"/>
        <v>0</v>
      </c>
      <c r="R120" s="5">
        <f t="shared" si="67"/>
        <v>0</v>
      </c>
      <c r="S120" s="5">
        <f t="shared" si="67"/>
        <v>0</v>
      </c>
      <c r="T120" s="5">
        <f t="shared" si="67"/>
        <v>0</v>
      </c>
      <c r="U120" s="5">
        <f t="shared" si="67"/>
        <v>0</v>
      </c>
      <c r="V120" s="12">
        <f t="shared" si="60"/>
        <v>0</v>
      </c>
      <c r="W120" s="12">
        <f t="shared" si="61"/>
        <v>-8</v>
      </c>
      <c r="X120" s="3">
        <f t="shared" si="62"/>
        <v>-2.4</v>
      </c>
      <c r="Y120" s="4">
        <f t="shared" si="63"/>
        <v>2</v>
      </c>
      <c r="Z120" s="4">
        <v>5</v>
      </c>
      <c r="AA120" s="4">
        <f t="shared" si="64"/>
        <v>9</v>
      </c>
    </row>
    <row r="121" spans="2:28" x14ac:dyDescent="0.3">
      <c r="B121" t="str">
        <f>+B98</f>
        <v>Net</v>
      </c>
      <c r="C121" s="5">
        <f>+C97+C73</f>
        <v>-2</v>
      </c>
      <c r="D121" s="5">
        <f t="shared" ref="D121:W121" si="68">+D97+D73</f>
        <v>36</v>
      </c>
      <c r="E121" s="5">
        <f t="shared" si="68"/>
        <v>26</v>
      </c>
      <c r="F121" s="5">
        <f t="shared" si="68"/>
        <v>6</v>
      </c>
      <c r="G121" s="5">
        <f t="shared" si="68"/>
        <v>4</v>
      </c>
      <c r="H121" s="5">
        <f t="shared" si="68"/>
        <v>0</v>
      </c>
      <c r="I121" s="5">
        <f t="shared" si="68"/>
        <v>0</v>
      </c>
      <c r="J121" s="5">
        <f t="shared" si="68"/>
        <v>0</v>
      </c>
      <c r="K121" s="5">
        <f t="shared" si="68"/>
        <v>0</v>
      </c>
      <c r="L121" s="12">
        <f t="shared" si="68"/>
        <v>0</v>
      </c>
      <c r="M121" s="5">
        <f t="shared" si="68"/>
        <v>0</v>
      </c>
      <c r="N121" s="5">
        <f t="shared" si="68"/>
        <v>0</v>
      </c>
      <c r="O121" s="5">
        <f t="shared" si="68"/>
        <v>0</v>
      </c>
      <c r="P121" s="5">
        <f t="shared" si="68"/>
        <v>0</v>
      </c>
      <c r="Q121" s="5">
        <f t="shared" si="68"/>
        <v>0</v>
      </c>
      <c r="R121" s="5">
        <f t="shared" si="68"/>
        <v>0</v>
      </c>
      <c r="S121" s="5">
        <f t="shared" si="68"/>
        <v>0</v>
      </c>
      <c r="T121" s="5">
        <f t="shared" si="68"/>
        <v>0</v>
      </c>
      <c r="U121" s="5">
        <f t="shared" si="68"/>
        <v>0</v>
      </c>
      <c r="V121" s="12">
        <f t="shared" si="68"/>
        <v>0</v>
      </c>
      <c r="W121" s="12">
        <f t="shared" si="68"/>
        <v>0</v>
      </c>
      <c r="X121" s="3">
        <f t="shared" si="62"/>
        <v>0</v>
      </c>
      <c r="Y121" s="4">
        <f t="shared" si="63"/>
        <v>2</v>
      </c>
      <c r="Z121" s="4">
        <v>5</v>
      </c>
      <c r="AA121" s="4">
        <f t="shared" si="64"/>
        <v>9</v>
      </c>
    </row>
    <row r="122" spans="2:28" x14ac:dyDescent="0.3">
      <c r="C122" s="5"/>
      <c r="D122" s="5"/>
      <c r="E122" s="5"/>
      <c r="F122" s="5"/>
      <c r="G122" s="5"/>
      <c r="H122" s="5"/>
      <c r="I122" s="5"/>
      <c r="J122" s="5"/>
      <c r="K122" s="5"/>
      <c r="L122" s="12"/>
      <c r="M122" s="5"/>
      <c r="N122" s="5"/>
      <c r="O122" s="5"/>
      <c r="P122" s="5"/>
      <c r="Q122" s="5"/>
      <c r="R122" s="5"/>
      <c r="S122" s="5"/>
      <c r="T122" s="5"/>
      <c r="U122" s="5"/>
      <c r="V122" s="12"/>
      <c r="W122" s="12"/>
      <c r="X122" s="3"/>
      <c r="Y122" s="4"/>
      <c r="Z122" s="4"/>
      <c r="AA122" s="4"/>
    </row>
    <row r="123" spans="2:28" x14ac:dyDescent="0.3">
      <c r="C123" s="5"/>
      <c r="D123" s="5"/>
      <c r="E123" s="5"/>
      <c r="F123" s="5"/>
      <c r="G123" s="5"/>
      <c r="H123" s="5"/>
      <c r="I123" s="5"/>
      <c r="J123" s="5"/>
      <c r="K123" s="5"/>
      <c r="L123" s="12"/>
      <c r="M123" s="5"/>
      <c r="N123" s="5"/>
      <c r="O123" s="5"/>
      <c r="P123" s="5"/>
      <c r="Q123" s="5"/>
      <c r="R123" s="5"/>
      <c r="S123" s="5"/>
      <c r="T123" s="5"/>
      <c r="U123" s="5"/>
      <c r="V123" s="12"/>
      <c r="W123" s="12"/>
      <c r="X123" s="3"/>
      <c r="Y123" s="4"/>
      <c r="Z123" s="4"/>
      <c r="AA12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4.4" x14ac:dyDescent="0.3"/>
  <cols>
    <col min="1" max="1" width="16.109375" customWidth="1"/>
    <col min="2" max="2" width="13.33203125" customWidth="1"/>
    <col min="3" max="3" width="12.5546875" customWidth="1"/>
    <col min="4" max="4" width="14.6640625" customWidth="1"/>
    <col min="5" max="5" width="10.109375" customWidth="1"/>
    <col min="6" max="6" width="12.21875" customWidth="1"/>
    <col min="7" max="8" width="11.21875" customWidth="1"/>
    <col min="9" max="9" width="11.5546875" customWidth="1"/>
    <col min="10" max="10" width="10" customWidth="1"/>
    <col min="11" max="11" width="12.21875" customWidth="1"/>
    <col min="12" max="12" width="12" customWidth="1"/>
    <col min="13" max="13" width="14.21875" customWidth="1"/>
    <col min="14" max="14" width="4" customWidth="1"/>
    <col min="15" max="15" width="11.109375" customWidth="1"/>
    <col min="16" max="16" width="13.6640625" customWidth="1"/>
    <col min="17" max="17" width="12.21875" customWidth="1"/>
    <col min="18" max="18" width="13.77734375" customWidth="1"/>
    <col min="19" max="19" width="10.21875" customWidth="1"/>
    <col min="20" max="20" width="5.77734375" customWidth="1"/>
    <col min="21" max="21" width="16.6640625" bestFit="1" customWidth="1"/>
    <col min="22" max="23" width="10.109375" customWidth="1"/>
    <col min="24" max="24" width="7" customWidth="1"/>
    <col min="25" max="25" width="10.77734375" bestFit="1" customWidth="1"/>
  </cols>
  <sheetData>
    <row r="3" spans="1:3" x14ac:dyDescent="0.3">
      <c r="A3" s="26"/>
      <c r="B3" s="27"/>
      <c r="C3" s="28"/>
    </row>
    <row r="4" spans="1:3" x14ac:dyDescent="0.3">
      <c r="A4" s="29"/>
      <c r="B4" s="30"/>
      <c r="C4" s="31"/>
    </row>
    <row r="5" spans="1:3" x14ac:dyDescent="0.3">
      <c r="A5" s="29"/>
      <c r="B5" s="30"/>
      <c r="C5" s="31"/>
    </row>
    <row r="6" spans="1:3" x14ac:dyDescent="0.3">
      <c r="A6" s="29"/>
      <c r="B6" s="30"/>
      <c r="C6" s="31"/>
    </row>
    <row r="7" spans="1:3" x14ac:dyDescent="0.3">
      <c r="A7" s="29"/>
      <c r="B7" s="30"/>
      <c r="C7" s="31"/>
    </row>
    <row r="8" spans="1:3" x14ac:dyDescent="0.3">
      <c r="A8" s="29"/>
      <c r="B8" s="30"/>
      <c r="C8" s="31"/>
    </row>
    <row r="9" spans="1:3" x14ac:dyDescent="0.3">
      <c r="A9" s="29"/>
      <c r="B9" s="30"/>
      <c r="C9" s="31"/>
    </row>
    <row r="10" spans="1:3" x14ac:dyDescent="0.3">
      <c r="A10" s="29"/>
      <c r="B10" s="30"/>
      <c r="C10" s="31"/>
    </row>
    <row r="11" spans="1:3" x14ac:dyDescent="0.3">
      <c r="A11" s="29"/>
      <c r="B11" s="30"/>
      <c r="C11" s="31"/>
    </row>
    <row r="12" spans="1:3" x14ac:dyDescent="0.3">
      <c r="A12" s="29"/>
      <c r="B12" s="30"/>
      <c r="C12" s="31"/>
    </row>
    <row r="13" spans="1:3" x14ac:dyDescent="0.3">
      <c r="A13" s="29"/>
      <c r="B13" s="30"/>
      <c r="C13" s="31"/>
    </row>
    <row r="14" spans="1:3" x14ac:dyDescent="0.3">
      <c r="A14" s="29"/>
      <c r="B14" s="30"/>
      <c r="C14" s="31"/>
    </row>
    <row r="15" spans="1:3" x14ac:dyDescent="0.3">
      <c r="A15" s="29"/>
      <c r="B15" s="30"/>
      <c r="C15" s="31"/>
    </row>
    <row r="16" spans="1:3" x14ac:dyDescent="0.3">
      <c r="A16" s="29"/>
      <c r="B16" s="30"/>
      <c r="C16" s="31"/>
    </row>
    <row r="17" spans="1:3" x14ac:dyDescent="0.3">
      <c r="A17" s="29"/>
      <c r="B17" s="30"/>
      <c r="C17" s="31"/>
    </row>
    <row r="18" spans="1:3" x14ac:dyDescent="0.3">
      <c r="A18" s="29"/>
      <c r="B18" s="30"/>
      <c r="C18" s="31"/>
    </row>
    <row r="19" spans="1:3" x14ac:dyDescent="0.3">
      <c r="A19" s="29"/>
      <c r="B19" s="30"/>
      <c r="C19" s="31"/>
    </row>
    <row r="20" spans="1:3" x14ac:dyDescent="0.3">
      <c r="A20" s="32"/>
      <c r="B20" s="33"/>
      <c r="C2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24"/>
  <sheetViews>
    <sheetView workbookViewId="0">
      <selection activeCell="H4" sqref="H4"/>
    </sheetView>
  </sheetViews>
  <sheetFormatPr defaultRowHeight="14.4" x14ac:dyDescent="0.3"/>
  <cols>
    <col min="3" max="3" width="18.6640625" customWidth="1"/>
    <col min="10" max="10" width="13.33203125" bestFit="1" customWidth="1"/>
    <col min="11" max="11" width="14.21875" customWidth="1"/>
    <col min="26" max="28" width="8.88671875" style="35"/>
  </cols>
  <sheetData>
    <row r="1" spans="2:34" x14ac:dyDescent="0.3">
      <c r="C1" t="s">
        <v>0</v>
      </c>
      <c r="D1" t="s">
        <v>17</v>
      </c>
      <c r="E1" t="s">
        <v>18</v>
      </c>
      <c r="F1" t="s">
        <v>39</v>
      </c>
      <c r="G1" s="35"/>
      <c r="H1" s="36" t="s">
        <v>17</v>
      </c>
      <c r="I1" s="35"/>
      <c r="J1" s="35"/>
      <c r="K1" s="35"/>
      <c r="L1" s="35" t="s">
        <v>17</v>
      </c>
      <c r="M1" s="35" t="s">
        <v>18</v>
      </c>
      <c r="N1" s="35" t="s">
        <v>1</v>
      </c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AC1" t="s">
        <v>19</v>
      </c>
      <c r="AD1" t="s">
        <v>42</v>
      </c>
      <c r="AE1" t="s">
        <v>40</v>
      </c>
      <c r="AF1" t="s">
        <v>43</v>
      </c>
      <c r="AG1" t="s">
        <v>41</v>
      </c>
    </row>
    <row r="2" spans="2:34" x14ac:dyDescent="0.3">
      <c r="B2">
        <v>1</v>
      </c>
      <c r="C2" t="s">
        <v>6</v>
      </c>
      <c r="D2">
        <v>27</v>
      </c>
      <c r="E2">
        <v>31</v>
      </c>
      <c r="F2">
        <f>SUM(D2:E2)</f>
        <v>58</v>
      </c>
      <c r="G2" t="str">
        <f>IF(D2&lt;D2,"","")</f>
        <v/>
      </c>
      <c r="H2" s="5">
        <v>21</v>
      </c>
      <c r="K2" t="s">
        <v>11</v>
      </c>
      <c r="L2">
        <v>21</v>
      </c>
      <c r="M2" s="5">
        <v>5</v>
      </c>
      <c r="AC2">
        <f t="shared" ref="AC2:AC23" si="0">IF($D$2&lt;D2,1,0)</f>
        <v>0</v>
      </c>
      <c r="AD2">
        <f>21-AC2</f>
        <v>21</v>
      </c>
      <c r="AE2">
        <f>-AD2*0.5</f>
        <v>-10.5</v>
      </c>
      <c r="AF2">
        <v>0.5</v>
      </c>
      <c r="AG2" s="4">
        <f t="shared" ref="AG2:AG22" si="1">+AC2*AF2</f>
        <v>0</v>
      </c>
      <c r="AH2" s="25"/>
    </row>
    <row r="3" spans="2:34" x14ac:dyDescent="0.3">
      <c r="B3">
        <v>2</v>
      </c>
      <c r="C3" t="s">
        <v>11</v>
      </c>
      <c r="D3">
        <v>26</v>
      </c>
      <c r="E3">
        <v>37</v>
      </c>
      <c r="F3">
        <f>SUM(D3:E3)</f>
        <v>63</v>
      </c>
      <c r="G3" t="str">
        <f>IF(D3&lt;D4,"WIN","")</f>
        <v>WIN</v>
      </c>
      <c r="H3" s="5">
        <f>20-1</f>
        <v>19</v>
      </c>
      <c r="K3" t="s">
        <v>6</v>
      </c>
      <c r="L3">
        <v>19</v>
      </c>
      <c r="M3" s="5">
        <v>21</v>
      </c>
      <c r="AC3">
        <f t="shared" si="0"/>
        <v>0</v>
      </c>
      <c r="AD3">
        <f t="shared" ref="AD3:AD23" si="2">21-AC3</f>
        <v>21</v>
      </c>
      <c r="AE3">
        <f t="shared" ref="AE3:AE23" si="3">-AD3*0.5</f>
        <v>-10.5</v>
      </c>
      <c r="AF3">
        <v>0.5</v>
      </c>
      <c r="AG3" s="4">
        <f t="shared" si="1"/>
        <v>0</v>
      </c>
      <c r="AH3" s="25"/>
    </row>
    <row r="4" spans="2:34" x14ac:dyDescent="0.3">
      <c r="B4">
        <v>3</v>
      </c>
      <c r="C4" t="s">
        <v>10</v>
      </c>
      <c r="D4">
        <v>31</v>
      </c>
      <c r="E4">
        <v>34</v>
      </c>
      <c r="F4">
        <f>SUM(D4:E4)</f>
        <v>65</v>
      </c>
      <c r="G4" t="str">
        <f>IF(D4&lt;D5,"WIN","TIE")</f>
        <v>WIN</v>
      </c>
      <c r="H4" s="5">
        <f>19-2</f>
        <v>17</v>
      </c>
      <c r="K4" t="s">
        <v>10</v>
      </c>
      <c r="L4">
        <v>16</v>
      </c>
      <c r="M4" s="5">
        <v>16</v>
      </c>
      <c r="AC4">
        <f t="shared" si="0"/>
        <v>1</v>
      </c>
      <c r="AD4">
        <v>2</v>
      </c>
      <c r="AE4">
        <f t="shared" si="3"/>
        <v>-1</v>
      </c>
      <c r="AF4">
        <v>0.5</v>
      </c>
      <c r="AG4" s="4">
        <f t="shared" si="1"/>
        <v>0.5</v>
      </c>
      <c r="AH4" s="25"/>
    </row>
    <row r="5" spans="2:34" x14ac:dyDescent="0.3">
      <c r="B5">
        <v>4</v>
      </c>
      <c r="C5" t="s">
        <v>31</v>
      </c>
      <c r="D5">
        <v>36</v>
      </c>
      <c r="E5">
        <v>32</v>
      </c>
      <c r="F5">
        <f>SUM(D5:E5)</f>
        <v>68</v>
      </c>
      <c r="G5" t="str">
        <f t="shared" ref="G5:G23" si="4">IF(D5&lt;D6,"WIN","TIE")</f>
        <v>TIE</v>
      </c>
      <c r="H5" s="5">
        <f>+H4</f>
        <v>17</v>
      </c>
      <c r="K5" t="s">
        <v>32</v>
      </c>
      <c r="L5">
        <v>16</v>
      </c>
      <c r="M5" s="5">
        <v>5</v>
      </c>
      <c r="AC5">
        <f t="shared" si="0"/>
        <v>1</v>
      </c>
      <c r="AD5">
        <v>2</v>
      </c>
      <c r="AE5">
        <f t="shared" si="3"/>
        <v>-1</v>
      </c>
      <c r="AF5">
        <v>0.5</v>
      </c>
      <c r="AG5" s="4">
        <f t="shared" si="1"/>
        <v>0.5</v>
      </c>
      <c r="AH5" s="25"/>
    </row>
    <row r="6" spans="2:34" x14ac:dyDescent="0.3">
      <c r="B6">
        <v>5</v>
      </c>
      <c r="C6" t="s">
        <v>4</v>
      </c>
      <c r="D6">
        <v>34</v>
      </c>
      <c r="E6">
        <v>34</v>
      </c>
      <c r="F6">
        <f>SUM(D6:E6)</f>
        <v>68</v>
      </c>
      <c r="G6" t="str">
        <f t="shared" si="4"/>
        <v>TIE</v>
      </c>
      <c r="H6" s="5">
        <f>16-4</f>
        <v>12</v>
      </c>
      <c r="K6" t="s">
        <v>12</v>
      </c>
      <c r="L6">
        <v>13</v>
      </c>
      <c r="M6" s="5">
        <v>-11</v>
      </c>
      <c r="AC6">
        <f t="shared" si="0"/>
        <v>1</v>
      </c>
      <c r="AD6">
        <f t="shared" si="2"/>
        <v>20</v>
      </c>
      <c r="AE6">
        <f t="shared" si="3"/>
        <v>-10</v>
      </c>
      <c r="AF6">
        <v>0.5</v>
      </c>
      <c r="AG6" s="4">
        <f t="shared" si="1"/>
        <v>0.5</v>
      </c>
      <c r="AH6" s="25"/>
    </row>
    <row r="7" spans="2:34" x14ac:dyDescent="0.3">
      <c r="B7">
        <v>6</v>
      </c>
      <c r="C7" t="s">
        <v>32</v>
      </c>
      <c r="D7">
        <v>31</v>
      </c>
      <c r="E7">
        <v>37</v>
      </c>
      <c r="F7">
        <f>SUM(D7:E7)</f>
        <v>68</v>
      </c>
      <c r="G7" t="str">
        <f t="shared" si="4"/>
        <v>WIN</v>
      </c>
      <c r="H7" s="5">
        <f>+H6</f>
        <v>12</v>
      </c>
      <c r="K7" t="s">
        <v>4</v>
      </c>
      <c r="L7">
        <v>10</v>
      </c>
      <c r="M7" s="5">
        <v>16</v>
      </c>
      <c r="AC7">
        <f t="shared" si="0"/>
        <v>1</v>
      </c>
      <c r="AD7">
        <f t="shared" si="2"/>
        <v>20</v>
      </c>
      <c r="AE7">
        <f t="shared" si="3"/>
        <v>-10</v>
      </c>
      <c r="AF7">
        <v>0.5</v>
      </c>
      <c r="AG7" s="4">
        <f t="shared" si="1"/>
        <v>0.5</v>
      </c>
      <c r="AH7" s="25"/>
    </row>
    <row r="8" spans="2:34" x14ac:dyDescent="0.3">
      <c r="B8">
        <v>7</v>
      </c>
      <c r="C8" t="s">
        <v>22</v>
      </c>
      <c r="D8">
        <v>35</v>
      </c>
      <c r="E8">
        <v>35</v>
      </c>
      <c r="F8">
        <f>SUM(D8:E8)</f>
        <v>70</v>
      </c>
      <c r="G8" t="str">
        <f t="shared" si="4"/>
        <v>WIN</v>
      </c>
      <c r="H8" s="5">
        <f>11-6</f>
        <v>5</v>
      </c>
      <c r="K8" t="s">
        <v>3</v>
      </c>
      <c r="L8">
        <v>10</v>
      </c>
      <c r="M8" s="5">
        <v>-11</v>
      </c>
      <c r="AC8">
        <f t="shared" si="0"/>
        <v>1</v>
      </c>
      <c r="AD8">
        <f t="shared" si="2"/>
        <v>20</v>
      </c>
      <c r="AE8">
        <f t="shared" si="3"/>
        <v>-10</v>
      </c>
      <c r="AF8">
        <v>0.5</v>
      </c>
      <c r="AG8" s="4">
        <f t="shared" si="1"/>
        <v>0.5</v>
      </c>
      <c r="AH8" s="25"/>
    </row>
    <row r="9" spans="2:34" x14ac:dyDescent="0.3">
      <c r="B9">
        <v>8</v>
      </c>
      <c r="C9" t="s">
        <v>29</v>
      </c>
      <c r="D9">
        <v>36</v>
      </c>
      <c r="E9">
        <v>35</v>
      </c>
      <c r="F9">
        <f>SUM(D9:E9)</f>
        <v>71</v>
      </c>
      <c r="G9" t="str">
        <f t="shared" si="4"/>
        <v>TIE</v>
      </c>
      <c r="H9" s="5">
        <f>+H8</f>
        <v>5</v>
      </c>
      <c r="K9" t="s">
        <v>22</v>
      </c>
      <c r="L9">
        <v>7</v>
      </c>
      <c r="M9" s="5">
        <v>5</v>
      </c>
      <c r="AC9">
        <f t="shared" si="0"/>
        <v>1</v>
      </c>
      <c r="AD9">
        <f t="shared" si="2"/>
        <v>20</v>
      </c>
      <c r="AE9">
        <f t="shared" si="3"/>
        <v>-10</v>
      </c>
      <c r="AF9">
        <v>0.5</v>
      </c>
      <c r="AG9" s="4">
        <f t="shared" si="1"/>
        <v>0.5</v>
      </c>
      <c r="AH9" s="25"/>
    </row>
    <row r="10" spans="2:34" x14ac:dyDescent="0.3">
      <c r="B10">
        <v>9</v>
      </c>
      <c r="C10" t="s">
        <v>9</v>
      </c>
      <c r="D10">
        <v>36</v>
      </c>
      <c r="E10">
        <v>37</v>
      </c>
      <c r="F10">
        <f>SUM(D10:E10)</f>
        <v>73</v>
      </c>
      <c r="G10" t="str">
        <f t="shared" si="4"/>
        <v>WIN</v>
      </c>
      <c r="H10" s="5">
        <f>+H9</f>
        <v>5</v>
      </c>
      <c r="K10" t="s">
        <v>31</v>
      </c>
      <c r="L10">
        <v>1</v>
      </c>
      <c r="M10" s="5">
        <v>19</v>
      </c>
      <c r="AC10">
        <f t="shared" si="0"/>
        <v>1</v>
      </c>
      <c r="AD10">
        <f t="shared" si="2"/>
        <v>20</v>
      </c>
      <c r="AE10">
        <f t="shared" si="3"/>
        <v>-10</v>
      </c>
      <c r="AF10">
        <v>0.5</v>
      </c>
      <c r="AG10" s="4">
        <f t="shared" si="1"/>
        <v>0.5</v>
      </c>
      <c r="AH10" s="25"/>
    </row>
    <row r="11" spans="2:34" x14ac:dyDescent="0.3">
      <c r="B11">
        <v>10</v>
      </c>
      <c r="C11" t="s">
        <v>35</v>
      </c>
      <c r="D11">
        <v>37</v>
      </c>
      <c r="E11">
        <v>37</v>
      </c>
      <c r="F11">
        <f>SUM(D11:E11)</f>
        <v>74</v>
      </c>
      <c r="G11" t="str">
        <f t="shared" si="4"/>
        <v>TIE</v>
      </c>
      <c r="H11" s="5">
        <f>+H10</f>
        <v>5</v>
      </c>
      <c r="K11" t="s">
        <v>29</v>
      </c>
      <c r="L11">
        <v>1</v>
      </c>
      <c r="M11" s="5">
        <v>12</v>
      </c>
      <c r="AC11">
        <f t="shared" si="0"/>
        <v>1</v>
      </c>
      <c r="AD11">
        <f t="shared" si="2"/>
        <v>20</v>
      </c>
      <c r="AE11">
        <f t="shared" si="3"/>
        <v>-10</v>
      </c>
      <c r="AF11">
        <v>0.5</v>
      </c>
      <c r="AG11" s="4">
        <f t="shared" si="1"/>
        <v>0.5</v>
      </c>
      <c r="AH11" s="25"/>
    </row>
    <row r="12" spans="2:34" x14ac:dyDescent="0.3">
      <c r="B12">
        <v>11</v>
      </c>
      <c r="C12" t="s">
        <v>12</v>
      </c>
      <c r="D12">
        <v>33</v>
      </c>
      <c r="E12">
        <v>41</v>
      </c>
      <c r="F12">
        <f>SUM(D12:E12)</f>
        <v>74</v>
      </c>
      <c r="G12" t="str">
        <f t="shared" si="4"/>
        <v>WIN</v>
      </c>
      <c r="H12" s="5">
        <f>+H11</f>
        <v>5</v>
      </c>
      <c r="K12" t="s">
        <v>9</v>
      </c>
      <c r="L12">
        <v>1</v>
      </c>
      <c r="M12" s="5">
        <v>5</v>
      </c>
      <c r="AC12">
        <f t="shared" si="0"/>
        <v>1</v>
      </c>
      <c r="AD12">
        <f t="shared" si="2"/>
        <v>20</v>
      </c>
      <c r="AE12">
        <f t="shared" si="3"/>
        <v>-10</v>
      </c>
      <c r="AF12">
        <v>0.5</v>
      </c>
      <c r="AG12" s="4">
        <f t="shared" si="1"/>
        <v>0.5</v>
      </c>
      <c r="AH12" s="25"/>
    </row>
    <row r="13" spans="2:34" x14ac:dyDescent="0.3">
      <c r="B13">
        <v>12</v>
      </c>
      <c r="C13" t="s">
        <v>3</v>
      </c>
      <c r="D13">
        <v>34</v>
      </c>
      <c r="E13">
        <v>41</v>
      </c>
      <c r="F13">
        <f>SUM(D13:E13)</f>
        <v>75</v>
      </c>
      <c r="G13" t="str">
        <f t="shared" si="4"/>
        <v>WIN</v>
      </c>
      <c r="H13" s="5">
        <f>9-11</f>
        <v>-2</v>
      </c>
      <c r="K13" t="s">
        <v>5</v>
      </c>
      <c r="L13">
        <v>1</v>
      </c>
      <c r="M13" s="5">
        <v>-11</v>
      </c>
      <c r="AC13">
        <f t="shared" si="0"/>
        <v>1</v>
      </c>
      <c r="AD13">
        <f t="shared" si="2"/>
        <v>20</v>
      </c>
      <c r="AE13">
        <f t="shared" si="3"/>
        <v>-10</v>
      </c>
      <c r="AF13">
        <v>0.5</v>
      </c>
      <c r="AG13" s="4">
        <f t="shared" si="1"/>
        <v>0.5</v>
      </c>
      <c r="AH13" s="25"/>
    </row>
    <row r="14" spans="2:34" x14ac:dyDescent="0.3">
      <c r="B14">
        <v>13</v>
      </c>
      <c r="C14" t="s">
        <v>30</v>
      </c>
      <c r="D14">
        <v>38</v>
      </c>
      <c r="E14">
        <v>39</v>
      </c>
      <c r="F14">
        <f>SUM(D14:E14)</f>
        <v>77</v>
      </c>
      <c r="G14" t="str">
        <f t="shared" si="4"/>
        <v>TIE</v>
      </c>
      <c r="H14" s="5">
        <f>+H13</f>
        <v>-2</v>
      </c>
      <c r="K14" t="s">
        <v>8</v>
      </c>
      <c r="L14">
        <v>1</v>
      </c>
      <c r="M14" s="5">
        <v>-11</v>
      </c>
      <c r="AC14">
        <f t="shared" si="0"/>
        <v>1</v>
      </c>
      <c r="AD14">
        <f t="shared" si="2"/>
        <v>20</v>
      </c>
      <c r="AE14">
        <f t="shared" si="3"/>
        <v>-10</v>
      </c>
      <c r="AF14">
        <v>0.5</v>
      </c>
      <c r="AG14" s="4">
        <f t="shared" si="1"/>
        <v>0.5</v>
      </c>
      <c r="AH14" s="25"/>
    </row>
    <row r="15" spans="2:34" x14ac:dyDescent="0.3">
      <c r="B15">
        <v>14</v>
      </c>
      <c r="C15" t="s">
        <v>5</v>
      </c>
      <c r="D15">
        <v>36</v>
      </c>
      <c r="E15">
        <v>41</v>
      </c>
      <c r="F15">
        <f>SUM(D15:E15)</f>
        <v>77</v>
      </c>
      <c r="G15" t="str">
        <f t="shared" si="4"/>
        <v>TIE</v>
      </c>
      <c r="H15" s="5">
        <f>8-13</f>
        <v>-5</v>
      </c>
      <c r="K15" t="s">
        <v>35</v>
      </c>
      <c r="L15">
        <v>-5</v>
      </c>
      <c r="M15" s="5">
        <v>5</v>
      </c>
      <c r="AC15">
        <f t="shared" si="0"/>
        <v>1</v>
      </c>
      <c r="AD15">
        <f t="shared" si="2"/>
        <v>20</v>
      </c>
      <c r="AE15">
        <f t="shared" si="3"/>
        <v>-10</v>
      </c>
      <c r="AF15">
        <v>0.5</v>
      </c>
      <c r="AG15" s="4">
        <f t="shared" si="1"/>
        <v>0.5</v>
      </c>
      <c r="AH15" s="25"/>
    </row>
    <row r="16" spans="2:34" x14ac:dyDescent="0.3">
      <c r="B16">
        <v>15</v>
      </c>
      <c r="C16" t="s">
        <v>8</v>
      </c>
      <c r="D16">
        <v>36</v>
      </c>
      <c r="E16">
        <v>41</v>
      </c>
      <c r="F16">
        <f>SUM(D16:E16)</f>
        <v>77</v>
      </c>
      <c r="G16" t="str">
        <f t="shared" si="4"/>
        <v>WIN</v>
      </c>
      <c r="H16" s="5">
        <f>3-14</f>
        <v>-11</v>
      </c>
      <c r="K16" t="s">
        <v>30</v>
      </c>
      <c r="L16">
        <v>-8</v>
      </c>
      <c r="M16" s="5">
        <v>-2</v>
      </c>
      <c r="AC16">
        <f t="shared" si="0"/>
        <v>1</v>
      </c>
      <c r="AD16">
        <f t="shared" si="2"/>
        <v>20</v>
      </c>
      <c r="AE16">
        <f t="shared" si="3"/>
        <v>-10</v>
      </c>
      <c r="AF16">
        <v>0.5</v>
      </c>
      <c r="AG16" s="4">
        <f t="shared" si="1"/>
        <v>0.5</v>
      </c>
      <c r="AH16" s="25"/>
    </row>
    <row r="17" spans="2:34" x14ac:dyDescent="0.3">
      <c r="B17">
        <v>16</v>
      </c>
      <c r="C17" t="s">
        <v>7</v>
      </c>
      <c r="D17">
        <v>41</v>
      </c>
      <c r="E17">
        <v>37</v>
      </c>
      <c r="F17">
        <f>SUM(D17:E17)</f>
        <v>78</v>
      </c>
      <c r="G17" t="str">
        <f t="shared" si="4"/>
        <v>TIE</v>
      </c>
      <c r="H17" s="5">
        <f>+H16</f>
        <v>-11</v>
      </c>
      <c r="K17" t="s">
        <v>28</v>
      </c>
      <c r="L17">
        <v>-8</v>
      </c>
      <c r="M17" s="5">
        <v>-5</v>
      </c>
      <c r="AC17">
        <f t="shared" si="0"/>
        <v>1</v>
      </c>
      <c r="AD17">
        <f t="shared" si="2"/>
        <v>20</v>
      </c>
      <c r="AE17">
        <f t="shared" si="3"/>
        <v>-10</v>
      </c>
      <c r="AF17">
        <v>0.5</v>
      </c>
      <c r="AG17" s="4">
        <f t="shared" si="1"/>
        <v>0.5</v>
      </c>
      <c r="AH17" s="25"/>
    </row>
    <row r="18" spans="2:34" x14ac:dyDescent="0.3">
      <c r="B18">
        <v>17</v>
      </c>
      <c r="C18" t="s">
        <v>37</v>
      </c>
      <c r="D18">
        <v>39</v>
      </c>
      <c r="E18">
        <v>39</v>
      </c>
      <c r="F18">
        <f>SUM(D18:E18)</f>
        <v>78</v>
      </c>
      <c r="G18" t="str">
        <f t="shared" si="4"/>
        <v>TIE</v>
      </c>
      <c r="H18" s="5">
        <f>+H17</f>
        <v>-11</v>
      </c>
      <c r="K18" t="s">
        <v>37</v>
      </c>
      <c r="L18">
        <v>-12</v>
      </c>
      <c r="M18" s="5">
        <v>-2</v>
      </c>
      <c r="AC18">
        <f t="shared" si="0"/>
        <v>1</v>
      </c>
      <c r="AD18">
        <f t="shared" si="2"/>
        <v>20</v>
      </c>
      <c r="AE18">
        <f t="shared" si="3"/>
        <v>-10</v>
      </c>
      <c r="AF18">
        <v>0.5</v>
      </c>
      <c r="AG18" s="4">
        <f t="shared" si="1"/>
        <v>0.5</v>
      </c>
      <c r="AH18" s="25"/>
    </row>
    <row r="19" spans="2:34" x14ac:dyDescent="0.3">
      <c r="B19">
        <v>18</v>
      </c>
      <c r="C19" t="s">
        <v>28</v>
      </c>
      <c r="D19">
        <v>38</v>
      </c>
      <c r="E19">
        <v>40</v>
      </c>
      <c r="F19">
        <f>SUM(D19:E19)</f>
        <v>78</v>
      </c>
      <c r="G19" t="str">
        <f t="shared" si="4"/>
        <v>WIN</v>
      </c>
      <c r="H19" s="5">
        <f>+H18</f>
        <v>-11</v>
      </c>
      <c r="K19" t="s">
        <v>36</v>
      </c>
      <c r="L19">
        <v>-12</v>
      </c>
      <c r="M19" s="5">
        <v>-11</v>
      </c>
      <c r="AC19">
        <f t="shared" si="0"/>
        <v>1</v>
      </c>
      <c r="AD19">
        <f t="shared" si="2"/>
        <v>20</v>
      </c>
      <c r="AE19">
        <f t="shared" si="3"/>
        <v>-10</v>
      </c>
      <c r="AF19">
        <v>0.5</v>
      </c>
      <c r="AG19" s="4">
        <f t="shared" si="1"/>
        <v>0.5</v>
      </c>
      <c r="AH19" s="25"/>
    </row>
    <row r="20" spans="2:34" x14ac:dyDescent="0.3">
      <c r="B20">
        <v>19</v>
      </c>
      <c r="C20" t="s">
        <v>36</v>
      </c>
      <c r="D20">
        <v>39</v>
      </c>
      <c r="E20">
        <v>41</v>
      </c>
      <c r="F20">
        <f>SUM(D20:E20)</f>
        <v>80</v>
      </c>
      <c r="G20" t="str">
        <f t="shared" si="4"/>
        <v>WIN</v>
      </c>
      <c r="H20" s="5">
        <f>+H19</f>
        <v>-11</v>
      </c>
      <c r="K20" t="s">
        <v>7</v>
      </c>
      <c r="L20">
        <v>-15</v>
      </c>
      <c r="M20" s="5">
        <v>5</v>
      </c>
      <c r="AC20">
        <f t="shared" si="0"/>
        <v>1</v>
      </c>
      <c r="AD20">
        <f t="shared" si="2"/>
        <v>20</v>
      </c>
      <c r="AE20">
        <f t="shared" si="3"/>
        <v>-10</v>
      </c>
      <c r="AF20">
        <v>0.5</v>
      </c>
      <c r="AG20" s="4">
        <f t="shared" si="1"/>
        <v>0.5</v>
      </c>
      <c r="AH20" s="25"/>
    </row>
    <row r="21" spans="2:34" x14ac:dyDescent="0.3">
      <c r="B21">
        <v>20</v>
      </c>
      <c r="C21" t="s">
        <v>38</v>
      </c>
      <c r="D21">
        <v>47</v>
      </c>
      <c r="E21">
        <v>50</v>
      </c>
      <c r="F21">
        <f>SUM(D21:E21)</f>
        <v>97</v>
      </c>
      <c r="G21" t="str">
        <f t="shared" si="4"/>
        <v>WIN</v>
      </c>
      <c r="H21" s="5">
        <f>2-19</f>
        <v>-17</v>
      </c>
      <c r="K21" t="s">
        <v>38</v>
      </c>
      <c r="L21">
        <v>-17</v>
      </c>
      <c r="M21" s="5">
        <v>-19</v>
      </c>
      <c r="AC21">
        <f t="shared" si="0"/>
        <v>1</v>
      </c>
      <c r="AD21">
        <f t="shared" si="2"/>
        <v>20</v>
      </c>
      <c r="AE21">
        <f t="shared" si="3"/>
        <v>-10</v>
      </c>
      <c r="AF21">
        <v>0.5</v>
      </c>
      <c r="AG21" s="4">
        <f t="shared" si="1"/>
        <v>0.5</v>
      </c>
      <c r="AH21" s="25"/>
    </row>
    <row r="22" spans="2:34" x14ac:dyDescent="0.3">
      <c r="B22">
        <v>21</v>
      </c>
      <c r="C22" t="s">
        <v>34</v>
      </c>
      <c r="D22">
        <v>53</v>
      </c>
      <c r="E22">
        <v>46</v>
      </c>
      <c r="F22">
        <f>SUM(D22:E22)</f>
        <v>99</v>
      </c>
      <c r="G22" t="str">
        <f t="shared" si="4"/>
        <v>TIE</v>
      </c>
      <c r="H22" s="5">
        <f>1-20</f>
        <v>-19</v>
      </c>
      <c r="K22" t="s">
        <v>33</v>
      </c>
      <c r="L22">
        <v>-19</v>
      </c>
      <c r="M22" s="5">
        <v>-21</v>
      </c>
      <c r="AC22">
        <f t="shared" si="0"/>
        <v>1</v>
      </c>
      <c r="AD22">
        <f t="shared" si="2"/>
        <v>20</v>
      </c>
      <c r="AE22">
        <f t="shared" si="3"/>
        <v>-10</v>
      </c>
      <c r="AF22">
        <v>0.5</v>
      </c>
      <c r="AG22" s="4">
        <f t="shared" si="1"/>
        <v>0.5</v>
      </c>
      <c r="AH22" s="25"/>
    </row>
    <row r="23" spans="2:34" x14ac:dyDescent="0.3">
      <c r="B23">
        <v>22</v>
      </c>
      <c r="C23" t="s">
        <v>33</v>
      </c>
      <c r="D23">
        <v>51</v>
      </c>
      <c r="E23">
        <v>51</v>
      </c>
      <c r="F23">
        <f>SUM(D23:E23)</f>
        <v>102</v>
      </c>
      <c r="G23" t="str">
        <f t="shared" si="4"/>
        <v>TIE</v>
      </c>
      <c r="H23" s="5">
        <v>-21</v>
      </c>
      <c r="K23" t="s">
        <v>34</v>
      </c>
      <c r="L23">
        <v>-21</v>
      </c>
      <c r="M23" s="5">
        <v>-17</v>
      </c>
      <c r="AC23">
        <f t="shared" si="0"/>
        <v>1</v>
      </c>
      <c r="AD23">
        <f t="shared" si="2"/>
        <v>20</v>
      </c>
      <c r="AE23">
        <f t="shared" si="3"/>
        <v>-10</v>
      </c>
      <c r="AF23">
        <v>0.5</v>
      </c>
      <c r="AG23" s="4">
        <v>0</v>
      </c>
      <c r="AH23" s="25"/>
    </row>
    <row r="24" spans="2:34" x14ac:dyDescent="0.3">
      <c r="H24" s="5">
        <f>SUM(H2:H23)</f>
        <v>2</v>
      </c>
      <c r="L24">
        <v>0</v>
      </c>
      <c r="M24">
        <v>0</v>
      </c>
      <c r="AC24">
        <f>SUM(AC2:AC23)</f>
        <v>20</v>
      </c>
      <c r="AD24">
        <f>SUM(AD2:AD23)</f>
        <v>406</v>
      </c>
      <c r="AE24">
        <f>SUM(AE2:AE23)</f>
        <v>-203</v>
      </c>
      <c r="AG24" s="4">
        <f>SUM(AG2:AG23)</f>
        <v>9.5</v>
      </c>
    </row>
  </sheetData>
  <autoFilter ref="C1:F1">
    <sortState ref="C2:F24">
      <sortCondition ref="F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7"/>
  <sheetViews>
    <sheetView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4.4" x14ac:dyDescent="0.3"/>
  <cols>
    <col min="2" max="2" width="18.6640625" customWidth="1"/>
    <col min="3" max="3" width="6.109375" customWidth="1"/>
    <col min="4" max="4" width="7.109375" customWidth="1"/>
    <col min="5" max="5" width="6.109375" customWidth="1"/>
    <col min="6" max="6" width="5.88671875" customWidth="1"/>
    <col min="7" max="7" width="6" customWidth="1"/>
    <col min="8" max="8" width="6.33203125" customWidth="1"/>
    <col min="9" max="9" width="6.6640625" customWidth="1"/>
    <col min="10" max="10" width="6" customWidth="1"/>
    <col min="11" max="12" width="6.6640625" customWidth="1"/>
    <col min="13" max="13" width="6.33203125" customWidth="1"/>
    <col min="14" max="14" width="5.88671875" customWidth="1"/>
    <col min="15" max="15" width="6.6640625" customWidth="1"/>
    <col min="16" max="16" width="7.33203125" customWidth="1"/>
    <col min="17" max="17" width="6.44140625" customWidth="1"/>
    <col min="18" max="18" width="7.33203125" customWidth="1"/>
    <col min="19" max="19" width="7" customWidth="1"/>
    <col min="20" max="20" width="6.88671875" customWidth="1"/>
    <col min="21" max="22" width="6.6640625" customWidth="1"/>
  </cols>
  <sheetData>
    <row r="1" spans="2:29" x14ac:dyDescent="0.3">
      <c r="X1" t="s">
        <v>14</v>
      </c>
      <c r="Z1" t="s">
        <v>14</v>
      </c>
      <c r="AA1" t="s">
        <v>21</v>
      </c>
    </row>
    <row r="2" spans="2:29" x14ac:dyDescent="0.3">
      <c r="B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16" t="s">
        <v>17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17" t="s">
        <v>18</v>
      </c>
      <c r="W2" s="6" t="s">
        <v>1</v>
      </c>
      <c r="X2" t="s">
        <v>13</v>
      </c>
      <c r="Z2" t="s">
        <v>16</v>
      </c>
      <c r="AA2" t="s">
        <v>13</v>
      </c>
    </row>
    <row r="3" spans="2:29" x14ac:dyDescent="0.3">
      <c r="B3" t="s">
        <v>2</v>
      </c>
      <c r="C3" s="5">
        <v>5</v>
      </c>
      <c r="D3" s="5">
        <v>5</v>
      </c>
      <c r="E3" s="5">
        <v>4</v>
      </c>
      <c r="F3" s="5">
        <v>7</v>
      </c>
      <c r="G3" s="5">
        <v>4</v>
      </c>
      <c r="H3" s="5">
        <v>7</v>
      </c>
      <c r="I3" s="5">
        <v>6</v>
      </c>
      <c r="J3" s="5">
        <v>6</v>
      </c>
      <c r="K3" s="5">
        <v>6</v>
      </c>
      <c r="L3" s="12">
        <f t="shared" ref="L3:L17" si="0">SUM(C3:K3)</f>
        <v>50</v>
      </c>
      <c r="M3" s="5">
        <v>6</v>
      </c>
      <c r="N3" s="5">
        <v>5</v>
      </c>
      <c r="O3" s="5">
        <v>6</v>
      </c>
      <c r="P3" s="5">
        <v>6</v>
      </c>
      <c r="Q3" s="5">
        <v>5</v>
      </c>
      <c r="R3" s="5">
        <v>4</v>
      </c>
      <c r="S3" s="5">
        <v>6</v>
      </c>
      <c r="T3" s="5">
        <v>4</v>
      </c>
      <c r="U3" s="5">
        <v>5</v>
      </c>
      <c r="V3" s="12">
        <f t="shared" ref="V3:V14" si="1">SUM(M3:U3)</f>
        <v>47</v>
      </c>
      <c r="W3" s="12">
        <f t="shared" ref="W3:W17" si="2">+L3+V3</f>
        <v>97</v>
      </c>
      <c r="X3" s="5">
        <f>+'day 1'!AA3</f>
        <v>29.75</v>
      </c>
      <c r="Y3" s="5">
        <f>(+W3-70)*0.87</f>
        <v>23.49</v>
      </c>
      <c r="Z3" s="14">
        <f>+W3-Y3</f>
        <v>73.510000000000005</v>
      </c>
      <c r="AA3" s="5">
        <f>(W3-70)*0.875</f>
        <v>23.625</v>
      </c>
      <c r="AB3" s="10">
        <f>+Z3+'day 1'!Z3</f>
        <v>141.51</v>
      </c>
    </row>
    <row r="4" spans="2:29" x14ac:dyDescent="0.3">
      <c r="B4" t="s">
        <v>11</v>
      </c>
      <c r="C4" s="5">
        <v>5</v>
      </c>
      <c r="D4" s="5">
        <v>4</v>
      </c>
      <c r="E4" s="5">
        <v>5</v>
      </c>
      <c r="F4" s="5">
        <v>6</v>
      </c>
      <c r="G4" s="5">
        <v>5</v>
      </c>
      <c r="H4" s="5">
        <v>4</v>
      </c>
      <c r="I4" s="5">
        <v>5</v>
      </c>
      <c r="J4" s="5">
        <v>6</v>
      </c>
      <c r="K4" s="5">
        <v>3</v>
      </c>
      <c r="L4" s="12">
        <f t="shared" si="0"/>
        <v>43</v>
      </c>
      <c r="M4" s="5">
        <v>5</v>
      </c>
      <c r="N4" s="5">
        <v>4</v>
      </c>
      <c r="O4" s="5">
        <v>5</v>
      </c>
      <c r="P4" s="5">
        <v>5</v>
      </c>
      <c r="Q4" s="5">
        <v>3</v>
      </c>
      <c r="R4" s="5">
        <v>5</v>
      </c>
      <c r="S4" s="5">
        <v>7</v>
      </c>
      <c r="T4" s="5">
        <v>4</v>
      </c>
      <c r="U4" s="5">
        <v>4</v>
      </c>
      <c r="V4" s="12">
        <f t="shared" si="1"/>
        <v>42</v>
      </c>
      <c r="W4" s="12">
        <f t="shared" si="2"/>
        <v>85</v>
      </c>
      <c r="X4" s="5">
        <f>+'day 1'!AA4</f>
        <v>14</v>
      </c>
      <c r="Y4" s="5">
        <f t="shared" ref="Y4:Y17" si="3">(+W4-70)*0.875</f>
        <v>13.125</v>
      </c>
      <c r="Z4" s="14">
        <f t="shared" ref="Z4:Z17" si="4">+W4-X4</f>
        <v>71</v>
      </c>
      <c r="AA4" s="5">
        <f t="shared" ref="AA4:AA17" si="5">(W4-70)*0.875</f>
        <v>13.125</v>
      </c>
      <c r="AB4" s="10">
        <f>+Z4+'day 1'!Z4</f>
        <v>134.25</v>
      </c>
    </row>
    <row r="5" spans="2:29" x14ac:dyDescent="0.3">
      <c r="B5" t="s">
        <v>3</v>
      </c>
      <c r="C5" s="5">
        <v>7</v>
      </c>
      <c r="D5" s="5">
        <v>7</v>
      </c>
      <c r="E5" s="5">
        <v>7</v>
      </c>
      <c r="F5" s="5">
        <v>7</v>
      </c>
      <c r="G5" s="5">
        <v>6</v>
      </c>
      <c r="H5" s="5">
        <v>7</v>
      </c>
      <c r="I5" s="5">
        <v>6</v>
      </c>
      <c r="J5" s="5">
        <v>7</v>
      </c>
      <c r="K5" s="5">
        <v>5</v>
      </c>
      <c r="L5" s="12">
        <f t="shared" si="0"/>
        <v>59</v>
      </c>
      <c r="M5" s="5">
        <v>7</v>
      </c>
      <c r="N5" s="5">
        <v>5</v>
      </c>
      <c r="O5" s="5">
        <v>6</v>
      </c>
      <c r="P5" s="5">
        <v>8</v>
      </c>
      <c r="Q5" s="5">
        <v>4</v>
      </c>
      <c r="R5" s="5">
        <v>5</v>
      </c>
      <c r="S5" s="5">
        <v>5</v>
      </c>
      <c r="T5" s="5">
        <v>5</v>
      </c>
      <c r="U5" s="5">
        <v>5</v>
      </c>
      <c r="V5" s="12">
        <f t="shared" si="1"/>
        <v>50</v>
      </c>
      <c r="W5" s="12">
        <f t="shared" si="2"/>
        <v>109</v>
      </c>
      <c r="X5" s="5">
        <f>+'day 1'!AA5</f>
        <v>30.625</v>
      </c>
      <c r="Y5" s="5">
        <f t="shared" si="3"/>
        <v>34.125</v>
      </c>
      <c r="Z5" s="14">
        <f t="shared" si="4"/>
        <v>78.375</v>
      </c>
      <c r="AA5" s="5">
        <f t="shared" si="5"/>
        <v>34.125</v>
      </c>
      <c r="AB5" s="10">
        <f>+Z5+'day 1'!Z5</f>
        <v>153.625</v>
      </c>
    </row>
    <row r="6" spans="2:29" x14ac:dyDescent="0.3">
      <c r="B6" t="s">
        <v>4</v>
      </c>
      <c r="C6" s="5">
        <v>5</v>
      </c>
      <c r="D6" s="5">
        <v>5</v>
      </c>
      <c r="E6" s="5">
        <v>5</v>
      </c>
      <c r="F6" s="5">
        <v>7</v>
      </c>
      <c r="G6" s="5">
        <v>5</v>
      </c>
      <c r="H6" s="5">
        <v>6</v>
      </c>
      <c r="I6" s="5">
        <v>5</v>
      </c>
      <c r="J6" s="5">
        <v>6</v>
      </c>
      <c r="K6" s="5">
        <v>6</v>
      </c>
      <c r="L6" s="12">
        <f t="shared" si="0"/>
        <v>50</v>
      </c>
      <c r="M6" s="5">
        <v>5</v>
      </c>
      <c r="N6" s="5">
        <v>6</v>
      </c>
      <c r="O6" s="5">
        <v>6</v>
      </c>
      <c r="P6" s="5">
        <v>6</v>
      </c>
      <c r="Q6" s="5">
        <v>5</v>
      </c>
      <c r="R6" s="5">
        <v>4</v>
      </c>
      <c r="S6" s="5">
        <v>6</v>
      </c>
      <c r="T6" s="5">
        <v>4</v>
      </c>
      <c r="U6" s="5">
        <v>5</v>
      </c>
      <c r="V6" s="12">
        <f t="shared" si="1"/>
        <v>47</v>
      </c>
      <c r="W6" s="12">
        <f t="shared" si="2"/>
        <v>97</v>
      </c>
      <c r="X6" s="5">
        <f>+'day 1'!AA6</f>
        <v>15.75</v>
      </c>
      <c r="Y6" s="5">
        <f t="shared" si="3"/>
        <v>23.625</v>
      </c>
      <c r="Z6" s="14">
        <f t="shared" si="4"/>
        <v>81.25</v>
      </c>
      <c r="AA6" s="5">
        <f t="shared" si="5"/>
        <v>23.625</v>
      </c>
      <c r="AB6" s="10">
        <f>+Z6+'day 1'!Z6</f>
        <v>149.125</v>
      </c>
    </row>
    <row r="7" spans="2:29" x14ac:dyDescent="0.3">
      <c r="B7" t="s">
        <v>5</v>
      </c>
      <c r="C7" s="5">
        <v>7</v>
      </c>
      <c r="D7" s="5">
        <v>4</v>
      </c>
      <c r="E7" s="5">
        <v>5</v>
      </c>
      <c r="F7" s="5">
        <v>6</v>
      </c>
      <c r="G7" s="5">
        <v>4</v>
      </c>
      <c r="H7" s="5">
        <v>4</v>
      </c>
      <c r="I7" s="5">
        <v>7</v>
      </c>
      <c r="J7" s="5">
        <v>5</v>
      </c>
      <c r="K7" s="5">
        <v>4</v>
      </c>
      <c r="L7" s="12">
        <f t="shared" si="0"/>
        <v>46</v>
      </c>
      <c r="M7" s="5">
        <v>6</v>
      </c>
      <c r="N7" s="5">
        <v>5</v>
      </c>
      <c r="O7" s="5">
        <v>6</v>
      </c>
      <c r="P7" s="5">
        <v>6</v>
      </c>
      <c r="Q7" s="5">
        <v>2</v>
      </c>
      <c r="R7" s="5">
        <v>4</v>
      </c>
      <c r="S7" s="5">
        <v>5</v>
      </c>
      <c r="T7" s="5">
        <v>4</v>
      </c>
      <c r="U7" s="5">
        <v>5</v>
      </c>
      <c r="V7" s="12">
        <f t="shared" si="1"/>
        <v>43</v>
      </c>
      <c r="W7" s="12">
        <f t="shared" si="2"/>
        <v>89</v>
      </c>
      <c r="X7" s="5">
        <f>+'day 1'!AA7</f>
        <v>21.875</v>
      </c>
      <c r="Y7" s="5">
        <f t="shared" si="3"/>
        <v>16.625</v>
      </c>
      <c r="Z7" s="14">
        <f t="shared" si="4"/>
        <v>67.125</v>
      </c>
      <c r="AA7" s="5">
        <f t="shared" si="5"/>
        <v>16.625</v>
      </c>
      <c r="AB7" s="10">
        <f>+Z7+'day 1'!Z7</f>
        <v>143.75</v>
      </c>
      <c r="AC7">
        <f>76+62</f>
        <v>138</v>
      </c>
    </row>
    <row r="8" spans="2:29" x14ac:dyDescent="0.3">
      <c r="B8" t="s">
        <v>6</v>
      </c>
      <c r="C8" s="5">
        <v>5</v>
      </c>
      <c r="D8" s="5">
        <v>4</v>
      </c>
      <c r="E8" s="5">
        <v>3</v>
      </c>
      <c r="F8" s="5">
        <v>5</v>
      </c>
      <c r="G8" s="5">
        <v>5</v>
      </c>
      <c r="H8" s="5">
        <v>4</v>
      </c>
      <c r="I8" s="5">
        <v>4</v>
      </c>
      <c r="J8" s="5">
        <v>4</v>
      </c>
      <c r="K8" s="5">
        <v>5</v>
      </c>
      <c r="L8" s="12">
        <f t="shared" si="0"/>
        <v>39</v>
      </c>
      <c r="M8" s="5">
        <v>8</v>
      </c>
      <c r="N8" s="5">
        <v>5</v>
      </c>
      <c r="O8" s="5">
        <v>4</v>
      </c>
      <c r="P8" s="5">
        <v>7</v>
      </c>
      <c r="Q8" s="5">
        <v>4</v>
      </c>
      <c r="R8" s="5">
        <v>4</v>
      </c>
      <c r="S8" s="5">
        <v>5</v>
      </c>
      <c r="T8" s="5">
        <v>6</v>
      </c>
      <c r="U8" s="5">
        <v>5</v>
      </c>
      <c r="V8" s="12">
        <f t="shared" si="1"/>
        <v>48</v>
      </c>
      <c r="W8" s="12">
        <f t="shared" si="2"/>
        <v>87</v>
      </c>
      <c r="X8" s="5">
        <f>+'day 1'!AA8</f>
        <v>11.375</v>
      </c>
      <c r="Y8" s="5">
        <f t="shared" si="3"/>
        <v>14.875</v>
      </c>
      <c r="Z8" s="19">
        <f t="shared" si="4"/>
        <v>75.625</v>
      </c>
      <c r="AA8" s="5">
        <f t="shared" si="5"/>
        <v>14.875</v>
      </c>
      <c r="AB8" s="10">
        <f>+Z8+'day 1'!Z8</f>
        <v>134.125</v>
      </c>
    </row>
    <row r="9" spans="2:29" x14ac:dyDescent="0.3">
      <c r="B9" t="s">
        <v>7</v>
      </c>
      <c r="C9" s="5">
        <v>6</v>
      </c>
      <c r="D9" s="5">
        <v>10</v>
      </c>
      <c r="E9" s="5">
        <v>11</v>
      </c>
      <c r="F9" s="5">
        <v>8</v>
      </c>
      <c r="G9" s="5">
        <v>8</v>
      </c>
      <c r="H9" s="5">
        <v>8</v>
      </c>
      <c r="I9" s="5">
        <v>8</v>
      </c>
      <c r="J9" s="5">
        <v>5</v>
      </c>
      <c r="K9" s="5">
        <v>6</v>
      </c>
      <c r="L9" s="12">
        <f t="shared" si="0"/>
        <v>70</v>
      </c>
      <c r="M9" s="5">
        <v>9</v>
      </c>
      <c r="N9" s="5">
        <v>10</v>
      </c>
      <c r="O9" s="5">
        <v>5</v>
      </c>
      <c r="P9" s="5">
        <v>11</v>
      </c>
      <c r="Q9" s="5">
        <v>7</v>
      </c>
      <c r="R9" s="5">
        <v>6</v>
      </c>
      <c r="S9" s="5">
        <v>7</v>
      </c>
      <c r="T9" s="5">
        <v>6</v>
      </c>
      <c r="U9" s="5">
        <v>6</v>
      </c>
      <c r="V9" s="12">
        <f t="shared" si="1"/>
        <v>67</v>
      </c>
      <c r="W9" s="12">
        <f t="shared" si="2"/>
        <v>137</v>
      </c>
      <c r="X9" s="5">
        <f>+'day 1'!AA9</f>
        <v>56.875</v>
      </c>
      <c r="Y9" s="5">
        <f t="shared" si="3"/>
        <v>58.625</v>
      </c>
      <c r="Z9" s="14">
        <f t="shared" si="4"/>
        <v>80.125</v>
      </c>
      <c r="AA9" s="5">
        <f t="shared" si="5"/>
        <v>58.625</v>
      </c>
      <c r="AB9" s="10">
        <f>+Z9+'day 1'!Z9</f>
        <v>158.25</v>
      </c>
    </row>
    <row r="10" spans="2:29" x14ac:dyDescent="0.3">
      <c r="B10" t="s">
        <v>8</v>
      </c>
      <c r="C10" s="5">
        <v>6</v>
      </c>
      <c r="D10" s="5">
        <v>4</v>
      </c>
      <c r="E10" s="5">
        <v>4</v>
      </c>
      <c r="F10" s="5">
        <v>6</v>
      </c>
      <c r="G10" s="5">
        <v>5</v>
      </c>
      <c r="H10" s="5">
        <v>4</v>
      </c>
      <c r="I10" s="5">
        <v>4</v>
      </c>
      <c r="J10" s="5">
        <v>4</v>
      </c>
      <c r="K10" s="5">
        <v>5</v>
      </c>
      <c r="L10" s="12">
        <f t="shared" si="0"/>
        <v>42</v>
      </c>
      <c r="M10" s="5">
        <v>5</v>
      </c>
      <c r="N10" s="5">
        <v>6</v>
      </c>
      <c r="O10" s="5">
        <v>5</v>
      </c>
      <c r="P10" s="5">
        <v>4</v>
      </c>
      <c r="Q10" s="5">
        <v>3</v>
      </c>
      <c r="R10" s="5">
        <v>4</v>
      </c>
      <c r="S10" s="5">
        <v>4</v>
      </c>
      <c r="T10" s="5">
        <v>5</v>
      </c>
      <c r="U10" s="5">
        <v>5</v>
      </c>
      <c r="V10" s="12">
        <f t="shared" si="1"/>
        <v>41</v>
      </c>
      <c r="W10" s="12">
        <f t="shared" si="2"/>
        <v>83</v>
      </c>
      <c r="X10" s="5">
        <f>+'day 1'!AA10</f>
        <v>18.375</v>
      </c>
      <c r="Y10" s="5">
        <f t="shared" si="3"/>
        <v>11.375</v>
      </c>
      <c r="Z10" s="11">
        <f t="shared" si="4"/>
        <v>64.625</v>
      </c>
      <c r="AA10" s="5">
        <f t="shared" si="5"/>
        <v>11.375</v>
      </c>
      <c r="AB10" s="10">
        <f>+Z10+'day 1'!Z10</f>
        <v>140.75</v>
      </c>
    </row>
    <row r="11" spans="2:29" x14ac:dyDescent="0.3">
      <c r="B11" t="s">
        <v>9</v>
      </c>
      <c r="C11" s="5">
        <v>6</v>
      </c>
      <c r="D11" s="5">
        <v>6</v>
      </c>
      <c r="E11" s="5">
        <v>6</v>
      </c>
      <c r="F11" s="5">
        <v>8</v>
      </c>
      <c r="G11" s="5">
        <v>4</v>
      </c>
      <c r="H11" s="5">
        <v>5</v>
      </c>
      <c r="I11" s="5">
        <v>5</v>
      </c>
      <c r="J11" s="5">
        <v>5</v>
      </c>
      <c r="K11" s="5">
        <v>5</v>
      </c>
      <c r="L11" s="12">
        <f t="shared" si="0"/>
        <v>50</v>
      </c>
      <c r="M11" s="5">
        <v>5</v>
      </c>
      <c r="N11" s="5">
        <v>6</v>
      </c>
      <c r="O11" s="5">
        <v>5</v>
      </c>
      <c r="P11" s="5">
        <v>7</v>
      </c>
      <c r="Q11" s="5">
        <v>4</v>
      </c>
      <c r="R11" s="5">
        <v>4</v>
      </c>
      <c r="S11" s="5">
        <v>5</v>
      </c>
      <c r="T11" s="5">
        <v>4</v>
      </c>
      <c r="U11" s="5">
        <v>5</v>
      </c>
      <c r="V11" s="12">
        <f t="shared" si="1"/>
        <v>45</v>
      </c>
      <c r="W11" s="12">
        <f t="shared" si="2"/>
        <v>95</v>
      </c>
      <c r="X11" s="5">
        <f>+'day 1'!AA11</f>
        <v>16.625</v>
      </c>
      <c r="Y11" s="5">
        <f t="shared" si="3"/>
        <v>21.875</v>
      </c>
      <c r="Z11" s="14">
        <f t="shared" si="4"/>
        <v>78.375</v>
      </c>
      <c r="AA11" s="5">
        <f t="shared" si="5"/>
        <v>21.875</v>
      </c>
      <c r="AB11" s="10">
        <f>+Z11+'day 1'!Z11</f>
        <v>151.625</v>
      </c>
    </row>
    <row r="12" spans="2:29" x14ac:dyDescent="0.3">
      <c r="B12" t="s">
        <v>10</v>
      </c>
      <c r="C12" s="5">
        <v>5</v>
      </c>
      <c r="D12" s="5">
        <v>7</v>
      </c>
      <c r="E12" s="5">
        <v>5</v>
      </c>
      <c r="F12" s="5">
        <v>6</v>
      </c>
      <c r="G12" s="5">
        <v>4</v>
      </c>
      <c r="H12" s="5">
        <v>3</v>
      </c>
      <c r="I12" s="5">
        <v>7</v>
      </c>
      <c r="J12" s="5">
        <v>5</v>
      </c>
      <c r="K12" s="5">
        <v>5</v>
      </c>
      <c r="L12" s="12">
        <f t="shared" si="0"/>
        <v>47</v>
      </c>
      <c r="M12" s="5">
        <v>6</v>
      </c>
      <c r="N12" s="5">
        <v>4</v>
      </c>
      <c r="O12" s="5">
        <v>6</v>
      </c>
      <c r="P12" s="5">
        <v>6</v>
      </c>
      <c r="Q12" s="5">
        <v>3</v>
      </c>
      <c r="R12" s="5">
        <v>4</v>
      </c>
      <c r="S12" s="5">
        <v>6</v>
      </c>
      <c r="T12" s="5">
        <v>5</v>
      </c>
      <c r="U12" s="5">
        <v>5</v>
      </c>
      <c r="V12" s="12">
        <f t="shared" si="1"/>
        <v>45</v>
      </c>
      <c r="W12" s="12">
        <f t="shared" si="2"/>
        <v>92</v>
      </c>
      <c r="X12" s="5">
        <f>+'day 1'!AA12</f>
        <v>7</v>
      </c>
      <c r="Y12" s="5">
        <f t="shared" si="3"/>
        <v>19.25</v>
      </c>
      <c r="Z12" s="14">
        <f t="shared" si="4"/>
        <v>85</v>
      </c>
      <c r="AA12" s="5">
        <f t="shared" si="5"/>
        <v>19.25</v>
      </c>
      <c r="AB12" s="10">
        <f>+Z12+'day 1'!Z12</f>
        <v>149.875</v>
      </c>
      <c r="AC12">
        <f>79+72</f>
        <v>151</v>
      </c>
    </row>
    <row r="13" spans="2:29" x14ac:dyDescent="0.3">
      <c r="B13" t="s">
        <v>12</v>
      </c>
      <c r="C13" s="5">
        <v>6</v>
      </c>
      <c r="D13" s="5">
        <v>9</v>
      </c>
      <c r="E13" s="5">
        <v>10</v>
      </c>
      <c r="F13" s="5">
        <v>6</v>
      </c>
      <c r="G13" s="5">
        <v>4</v>
      </c>
      <c r="H13" s="5">
        <v>6</v>
      </c>
      <c r="I13" s="5">
        <v>6</v>
      </c>
      <c r="J13" s="5">
        <v>6</v>
      </c>
      <c r="K13" s="5">
        <v>6</v>
      </c>
      <c r="L13" s="12">
        <f t="shared" si="0"/>
        <v>59</v>
      </c>
      <c r="M13" s="5">
        <v>5</v>
      </c>
      <c r="N13" s="5">
        <v>6</v>
      </c>
      <c r="O13" s="5">
        <v>5</v>
      </c>
      <c r="P13" s="5">
        <v>10</v>
      </c>
      <c r="Q13" s="5">
        <v>6</v>
      </c>
      <c r="R13" s="5">
        <v>8</v>
      </c>
      <c r="S13" s="5">
        <v>7</v>
      </c>
      <c r="T13" s="5">
        <v>4</v>
      </c>
      <c r="U13" s="5">
        <v>6</v>
      </c>
      <c r="V13" s="12">
        <f t="shared" si="1"/>
        <v>57</v>
      </c>
      <c r="W13" s="12">
        <f t="shared" si="2"/>
        <v>116</v>
      </c>
      <c r="X13" s="5">
        <f>+'day 1'!AA14</f>
        <v>25.375</v>
      </c>
      <c r="Y13" s="5">
        <f t="shared" si="3"/>
        <v>40.25</v>
      </c>
      <c r="Z13" s="14">
        <f t="shared" si="4"/>
        <v>90.625</v>
      </c>
      <c r="AA13" s="5">
        <f t="shared" si="5"/>
        <v>40.25</v>
      </c>
      <c r="AB13" s="10">
        <f>+Z13+'day 1'!Z14</f>
        <v>164.25</v>
      </c>
    </row>
    <row r="14" spans="2:29" x14ac:dyDescent="0.3">
      <c r="B14" t="s">
        <v>22</v>
      </c>
      <c r="C14" s="5">
        <v>6</v>
      </c>
      <c r="D14" s="5">
        <v>6</v>
      </c>
      <c r="E14" s="5">
        <v>7</v>
      </c>
      <c r="F14" s="5">
        <v>7</v>
      </c>
      <c r="G14" s="5">
        <v>5</v>
      </c>
      <c r="H14" s="5">
        <v>3</v>
      </c>
      <c r="I14" s="5">
        <v>5</v>
      </c>
      <c r="J14" s="5">
        <v>5</v>
      </c>
      <c r="K14" s="5">
        <v>4</v>
      </c>
      <c r="L14" s="12">
        <f t="shared" si="0"/>
        <v>48</v>
      </c>
      <c r="M14" s="5">
        <v>5</v>
      </c>
      <c r="N14" s="5">
        <v>6</v>
      </c>
      <c r="O14" s="5">
        <v>7</v>
      </c>
      <c r="P14" s="5">
        <v>8</v>
      </c>
      <c r="Q14" s="5">
        <v>4</v>
      </c>
      <c r="R14" s="5">
        <v>4</v>
      </c>
      <c r="S14" s="5">
        <v>8</v>
      </c>
      <c r="T14" s="5">
        <v>4</v>
      </c>
      <c r="U14" s="5">
        <v>5</v>
      </c>
      <c r="V14" s="12">
        <f t="shared" si="1"/>
        <v>51</v>
      </c>
      <c r="W14" s="12">
        <f t="shared" si="2"/>
        <v>99</v>
      </c>
      <c r="X14" s="5">
        <f>+'day 1'!AA15</f>
        <v>24.5</v>
      </c>
      <c r="Y14" s="5">
        <f t="shared" si="3"/>
        <v>25.375</v>
      </c>
      <c r="Z14" s="9">
        <f>+W14-X14</f>
        <v>74.5</v>
      </c>
      <c r="AA14" s="5">
        <f t="shared" si="5"/>
        <v>25.375</v>
      </c>
      <c r="AB14" s="10">
        <f>+Z14+'day 1'!Z15</f>
        <v>144.5</v>
      </c>
      <c r="AC14">
        <f>81+63</f>
        <v>144</v>
      </c>
    </row>
    <row r="15" spans="2:29" x14ac:dyDescent="0.3">
      <c r="B15" t="s">
        <v>23</v>
      </c>
      <c r="C15" s="5">
        <v>6</v>
      </c>
      <c r="D15" s="5">
        <v>6</v>
      </c>
      <c r="E15" s="5">
        <v>6</v>
      </c>
      <c r="F15" s="5">
        <v>6</v>
      </c>
      <c r="G15" s="5">
        <v>6</v>
      </c>
      <c r="H15" s="5">
        <v>4</v>
      </c>
      <c r="I15" s="5">
        <v>5</v>
      </c>
      <c r="J15" s="5">
        <v>7</v>
      </c>
      <c r="K15" s="5">
        <v>4</v>
      </c>
      <c r="L15" s="12">
        <f t="shared" si="0"/>
        <v>50</v>
      </c>
      <c r="M15" s="5">
        <v>8</v>
      </c>
      <c r="N15" s="5">
        <v>6</v>
      </c>
      <c r="O15" s="5">
        <v>6</v>
      </c>
      <c r="P15" s="5">
        <v>7</v>
      </c>
      <c r="Q15" s="5">
        <v>4</v>
      </c>
      <c r="R15" s="5">
        <v>4</v>
      </c>
      <c r="S15" s="5">
        <v>6</v>
      </c>
      <c r="T15" s="5">
        <v>6</v>
      </c>
      <c r="U15" s="5">
        <v>8</v>
      </c>
      <c r="V15" s="12">
        <f>SUM(M15:U15)</f>
        <v>55</v>
      </c>
      <c r="W15" s="12">
        <f t="shared" si="2"/>
        <v>105</v>
      </c>
      <c r="X15" s="5">
        <f>+'day 1'!AA16</f>
        <v>11.375</v>
      </c>
      <c r="Y15" s="5">
        <f t="shared" si="3"/>
        <v>30.625</v>
      </c>
      <c r="Z15" s="14">
        <f t="shared" si="4"/>
        <v>93.625</v>
      </c>
      <c r="AA15" s="5">
        <f t="shared" si="5"/>
        <v>30.625</v>
      </c>
      <c r="AB15" s="10">
        <f>+Z15+'day 1'!Z16</f>
        <v>162.625</v>
      </c>
    </row>
    <row r="16" spans="2:29" x14ac:dyDescent="0.3">
      <c r="B16" t="s">
        <v>24</v>
      </c>
      <c r="C16" s="5">
        <v>9</v>
      </c>
      <c r="D16" s="5">
        <v>8</v>
      </c>
      <c r="E16" s="5">
        <v>5</v>
      </c>
      <c r="F16" s="5">
        <v>8</v>
      </c>
      <c r="G16" s="5">
        <v>6</v>
      </c>
      <c r="H16" s="5">
        <v>5</v>
      </c>
      <c r="I16" s="5">
        <v>7</v>
      </c>
      <c r="J16" s="5">
        <v>7</v>
      </c>
      <c r="K16" s="5">
        <v>7</v>
      </c>
      <c r="L16" s="12">
        <f t="shared" si="0"/>
        <v>62</v>
      </c>
      <c r="M16" s="5">
        <v>6</v>
      </c>
      <c r="N16" s="5">
        <v>7</v>
      </c>
      <c r="O16" s="5">
        <v>8</v>
      </c>
      <c r="P16" s="5">
        <v>7</v>
      </c>
      <c r="Q16" s="5">
        <v>7</v>
      </c>
      <c r="R16" s="5">
        <v>8</v>
      </c>
      <c r="S16" s="5">
        <v>6</v>
      </c>
      <c r="T16" s="5">
        <v>6</v>
      </c>
      <c r="U16" s="5">
        <v>6</v>
      </c>
      <c r="V16" s="12">
        <f>SUM(M16:U16)</f>
        <v>61</v>
      </c>
      <c r="W16" s="12">
        <f t="shared" si="2"/>
        <v>123</v>
      </c>
      <c r="X16" s="5">
        <f>+'day 1'!AA17</f>
        <v>6.125</v>
      </c>
      <c r="Y16" s="5">
        <f t="shared" si="3"/>
        <v>46.375</v>
      </c>
      <c r="Z16" s="14">
        <f t="shared" si="4"/>
        <v>116.875</v>
      </c>
      <c r="AA16" s="5">
        <f t="shared" si="5"/>
        <v>46.375</v>
      </c>
      <c r="AB16" s="10">
        <f>+Z16+'day 1'!Z17</f>
        <v>193.875</v>
      </c>
    </row>
    <row r="17" spans="1:31" x14ac:dyDescent="0.3">
      <c r="B17" t="s">
        <v>28</v>
      </c>
      <c r="C17" s="5">
        <v>5</v>
      </c>
      <c r="D17" s="5">
        <v>6</v>
      </c>
      <c r="E17" s="5">
        <v>6</v>
      </c>
      <c r="F17" s="5">
        <v>7</v>
      </c>
      <c r="G17" s="5">
        <v>5</v>
      </c>
      <c r="H17" s="5">
        <v>6</v>
      </c>
      <c r="I17" s="5">
        <v>6</v>
      </c>
      <c r="J17" s="5">
        <v>7</v>
      </c>
      <c r="K17" s="5">
        <v>6</v>
      </c>
      <c r="L17" s="12">
        <f t="shared" si="0"/>
        <v>54</v>
      </c>
      <c r="M17" s="5">
        <v>5</v>
      </c>
      <c r="N17" s="5">
        <v>6</v>
      </c>
      <c r="O17" s="5">
        <v>6</v>
      </c>
      <c r="P17" s="5">
        <v>7</v>
      </c>
      <c r="Q17" s="5">
        <v>3</v>
      </c>
      <c r="R17" s="5">
        <v>5</v>
      </c>
      <c r="S17" s="5">
        <v>7</v>
      </c>
      <c r="T17" s="5">
        <v>5</v>
      </c>
      <c r="U17" s="5">
        <v>4</v>
      </c>
      <c r="V17" s="12">
        <f>SUM(M17:U17)</f>
        <v>48</v>
      </c>
      <c r="W17" s="12">
        <f t="shared" si="2"/>
        <v>102</v>
      </c>
      <c r="X17" s="5">
        <f>+'day 1'!AA23</f>
        <v>34.125</v>
      </c>
      <c r="Y17" s="5">
        <f t="shared" si="3"/>
        <v>28</v>
      </c>
      <c r="Z17" s="14">
        <f t="shared" si="4"/>
        <v>67.875</v>
      </c>
      <c r="AA17" s="5">
        <f t="shared" si="5"/>
        <v>28</v>
      </c>
      <c r="AB17" s="10">
        <f>+Z17+'day 1'!Z23</f>
        <v>145.875</v>
      </c>
    </row>
    <row r="18" spans="1:31" x14ac:dyDescent="0.3">
      <c r="B18" t="s">
        <v>13</v>
      </c>
      <c r="C18" s="5">
        <v>11</v>
      </c>
      <c r="D18" s="5">
        <v>17</v>
      </c>
      <c r="E18" s="5">
        <v>15</v>
      </c>
      <c r="F18" s="5">
        <v>7</v>
      </c>
      <c r="G18" s="5">
        <v>3</v>
      </c>
      <c r="H18" s="5">
        <v>9</v>
      </c>
      <c r="I18" s="5">
        <v>1</v>
      </c>
      <c r="J18" s="5">
        <v>13</v>
      </c>
      <c r="K18" s="5">
        <v>5</v>
      </c>
      <c r="L18" s="12"/>
      <c r="M18" s="5">
        <v>12</v>
      </c>
      <c r="N18" s="5">
        <v>18</v>
      </c>
      <c r="O18" s="5">
        <v>16</v>
      </c>
      <c r="P18" s="5">
        <v>8</v>
      </c>
      <c r="Q18" s="5">
        <v>4</v>
      </c>
      <c r="R18" s="5">
        <v>10</v>
      </c>
      <c r="S18" s="5">
        <v>2</v>
      </c>
      <c r="T18" s="5">
        <v>14</v>
      </c>
      <c r="U18" s="5">
        <v>6</v>
      </c>
      <c r="V18" s="12"/>
      <c r="W18" s="12"/>
      <c r="X18">
        <f>3*18</f>
        <v>54</v>
      </c>
    </row>
    <row r="19" spans="1:31" x14ac:dyDescent="0.3">
      <c r="L19" s="6"/>
      <c r="V19" s="6"/>
      <c r="W19" s="6"/>
    </row>
    <row r="20" spans="1:31" x14ac:dyDescent="0.3">
      <c r="B20" t="s">
        <v>26</v>
      </c>
      <c r="L20" s="6"/>
      <c r="V20" s="6"/>
      <c r="W20" s="13"/>
    </row>
    <row r="21" spans="1:31" x14ac:dyDescent="0.3">
      <c r="A21">
        <v>1</v>
      </c>
      <c r="B21" t="str">
        <f t="shared" ref="B21:B35" si="6">+B3</f>
        <v>Dave Kizer</v>
      </c>
      <c r="C21" s="14">
        <f>+C3-1</f>
        <v>4</v>
      </c>
      <c r="D21" s="14">
        <f>+D3-1</f>
        <v>4</v>
      </c>
      <c r="E21" s="14">
        <f>+E3-1</f>
        <v>3</v>
      </c>
      <c r="F21" s="14">
        <f>+F3-1</f>
        <v>6</v>
      </c>
      <c r="G21" s="14">
        <f>+G3-2</f>
        <v>2</v>
      </c>
      <c r="H21" s="14">
        <f>+H3-1</f>
        <v>6</v>
      </c>
      <c r="I21" s="14">
        <f>+I3-2</f>
        <v>4</v>
      </c>
      <c r="J21" s="14">
        <f>+J3-1</f>
        <v>5</v>
      </c>
      <c r="K21" s="14">
        <f>+K3-2</f>
        <v>4</v>
      </c>
      <c r="L21" s="9">
        <f t="shared" ref="L21:L35" si="7">SUM(C21:K21)</f>
        <v>38</v>
      </c>
      <c r="M21" s="14">
        <f>+M3-1</f>
        <v>5</v>
      </c>
      <c r="N21" s="14">
        <f>+N3-1</f>
        <v>4</v>
      </c>
      <c r="O21" s="14">
        <f>+O3-1</f>
        <v>5</v>
      </c>
      <c r="P21" s="14">
        <f>+P3-1</f>
        <v>5</v>
      </c>
      <c r="Q21" s="14">
        <f>+Q3-2</f>
        <v>3</v>
      </c>
      <c r="R21" s="14">
        <f>+R3-1</f>
        <v>3</v>
      </c>
      <c r="S21" s="14">
        <f>+S3-2</f>
        <v>4</v>
      </c>
      <c r="T21" s="14">
        <f>+T3-1</f>
        <v>3</v>
      </c>
      <c r="U21" s="14">
        <f>+U3-1</f>
        <v>4</v>
      </c>
      <c r="V21" s="9">
        <f t="shared" ref="V21:V35" si="8">SUM(M21:U21)</f>
        <v>36</v>
      </c>
      <c r="W21" s="9">
        <f>+V21+L21</f>
        <v>74</v>
      </c>
      <c r="X21" s="8">
        <f>(0.5*7)-(0.5*6)</f>
        <v>0.5</v>
      </c>
      <c r="Y21" s="8">
        <f>(0.5*7)-(0.5*6)</f>
        <v>0.5</v>
      </c>
      <c r="Z21" s="8">
        <f>(1*8)-(1*4)</f>
        <v>4</v>
      </c>
      <c r="AA21" s="20">
        <f>SUM(X21:Z21)</f>
        <v>5</v>
      </c>
      <c r="AB21" s="4">
        <v>-0.1</v>
      </c>
      <c r="AC21" s="11">
        <f>SUM(AA21:AB21)</f>
        <v>4.9000000000000004</v>
      </c>
      <c r="AD21" s="5">
        <v>-6.6</v>
      </c>
      <c r="AE21" s="11">
        <f>+AC21-AA21</f>
        <v>-9.9999999999999645E-2</v>
      </c>
    </row>
    <row r="22" spans="1:31" x14ac:dyDescent="0.3">
      <c r="A22">
        <v>2</v>
      </c>
      <c r="B22" t="str">
        <f t="shared" si="6"/>
        <v>Bernie Sullivan</v>
      </c>
      <c r="C22" s="14">
        <f>+C4-1</f>
        <v>4</v>
      </c>
      <c r="D22" s="14">
        <f>+D4</f>
        <v>4</v>
      </c>
      <c r="E22" s="14">
        <f>+E4-1</f>
        <v>4</v>
      </c>
      <c r="F22" s="14">
        <f>+F4-1</f>
        <v>5</v>
      </c>
      <c r="G22" s="14">
        <f>+G4-1</f>
        <v>4</v>
      </c>
      <c r="H22" s="14">
        <f>+H4-1</f>
        <v>3</v>
      </c>
      <c r="I22" s="14">
        <f>+I4-1</f>
        <v>4</v>
      </c>
      <c r="J22" s="14">
        <f>+J4-1</f>
        <v>5</v>
      </c>
      <c r="K22" s="14">
        <f>+K4-1</f>
        <v>2</v>
      </c>
      <c r="L22" s="9">
        <f t="shared" si="7"/>
        <v>35</v>
      </c>
      <c r="M22" s="14">
        <f>+M4-1</f>
        <v>4</v>
      </c>
      <c r="N22" s="14">
        <f>+N4</f>
        <v>4</v>
      </c>
      <c r="O22" s="14">
        <f>+O4</f>
        <v>5</v>
      </c>
      <c r="P22" s="14">
        <f>+P4-1</f>
        <v>4</v>
      </c>
      <c r="Q22" s="14">
        <f>+Q4-1</f>
        <v>2</v>
      </c>
      <c r="R22" s="14">
        <f>+R4-1</f>
        <v>4</v>
      </c>
      <c r="S22" s="14">
        <f>+S4-1</f>
        <v>6</v>
      </c>
      <c r="T22" s="14">
        <f>+T4-1</f>
        <v>3</v>
      </c>
      <c r="U22" s="14">
        <f>+U4-1</f>
        <v>3</v>
      </c>
      <c r="V22" s="9">
        <f t="shared" si="8"/>
        <v>35</v>
      </c>
      <c r="W22" s="9">
        <f t="shared" ref="W22:W35" si="9">+V22+L22</f>
        <v>70</v>
      </c>
      <c r="X22" s="8">
        <f>(0.5*9)-(0.5*4)</f>
        <v>2.5</v>
      </c>
      <c r="Y22" s="8">
        <f>(0.5*9)-(0.5*3)</f>
        <v>3</v>
      </c>
      <c r="Z22" s="8">
        <f>(1*12)-(1*2)</f>
        <v>10</v>
      </c>
      <c r="AA22" s="20">
        <f t="shared" ref="AA22:AA35" si="10">SUM(X22:Z22)</f>
        <v>15.5</v>
      </c>
      <c r="AB22" s="4">
        <v>4.5</v>
      </c>
      <c r="AC22" s="11">
        <f t="shared" ref="AC22:AC35" si="11">SUM(AA22:AB22)</f>
        <v>20</v>
      </c>
      <c r="AD22" s="5">
        <v>7.5</v>
      </c>
      <c r="AE22" s="11">
        <f t="shared" ref="AE22:AE35" si="12">+AC22-AA22</f>
        <v>4.5</v>
      </c>
    </row>
    <row r="23" spans="1:31" x14ac:dyDescent="0.3">
      <c r="A23">
        <v>3</v>
      </c>
      <c r="B23" t="str">
        <f t="shared" si="6"/>
        <v>Joe McCardel</v>
      </c>
      <c r="C23" s="14">
        <f>+C5-2</f>
        <v>5</v>
      </c>
      <c r="D23" s="14">
        <f>+D5-1</f>
        <v>6</v>
      </c>
      <c r="E23" s="14">
        <f t="shared" ref="E23:K23" si="13">+E5-2</f>
        <v>5</v>
      </c>
      <c r="F23" s="14">
        <f t="shared" si="13"/>
        <v>5</v>
      </c>
      <c r="G23" s="14">
        <f t="shared" si="13"/>
        <v>4</v>
      </c>
      <c r="H23" s="14">
        <f t="shared" si="13"/>
        <v>5</v>
      </c>
      <c r="I23" s="14">
        <f t="shared" si="13"/>
        <v>4</v>
      </c>
      <c r="J23" s="14">
        <f t="shared" si="13"/>
        <v>5</v>
      </c>
      <c r="K23" s="14">
        <f t="shared" si="13"/>
        <v>3</v>
      </c>
      <c r="L23" s="9">
        <f t="shared" si="7"/>
        <v>42</v>
      </c>
      <c r="M23" s="14">
        <f>+M5-2</f>
        <v>5</v>
      </c>
      <c r="N23" s="14">
        <f>+N5-1</f>
        <v>4</v>
      </c>
      <c r="O23" s="14">
        <f>+O5-1</f>
        <v>5</v>
      </c>
      <c r="P23" s="14">
        <f t="shared" ref="P23:U23" si="14">+P5-2</f>
        <v>6</v>
      </c>
      <c r="Q23" s="14">
        <f t="shared" si="14"/>
        <v>2</v>
      </c>
      <c r="R23" s="14">
        <f t="shared" si="14"/>
        <v>3</v>
      </c>
      <c r="S23" s="14">
        <f t="shared" si="14"/>
        <v>3</v>
      </c>
      <c r="T23" s="14">
        <f t="shared" si="14"/>
        <v>3</v>
      </c>
      <c r="U23" s="14">
        <f t="shared" si="14"/>
        <v>3</v>
      </c>
      <c r="V23" s="9">
        <f t="shared" si="8"/>
        <v>34</v>
      </c>
      <c r="W23" s="9">
        <f t="shared" si="9"/>
        <v>76</v>
      </c>
      <c r="X23" s="8">
        <v>-6.5</v>
      </c>
      <c r="Y23" s="8">
        <f>(0.5*13)-(0.5*1)</f>
        <v>6</v>
      </c>
      <c r="Z23" s="8">
        <f>(1*4)-(1*8)</f>
        <v>-4</v>
      </c>
      <c r="AA23" s="20">
        <f t="shared" si="10"/>
        <v>-4.5</v>
      </c>
      <c r="AB23" s="4">
        <v>-3</v>
      </c>
      <c r="AC23" s="11">
        <f t="shared" si="11"/>
        <v>-7.5</v>
      </c>
      <c r="AD23" s="5">
        <v>-2.5</v>
      </c>
      <c r="AE23" s="11">
        <f t="shared" si="12"/>
        <v>-3</v>
      </c>
    </row>
    <row r="24" spans="1:31" x14ac:dyDescent="0.3">
      <c r="A24">
        <v>4</v>
      </c>
      <c r="B24" t="str">
        <f t="shared" si="6"/>
        <v>Dave Brauer</v>
      </c>
      <c r="C24" s="14">
        <f>+C6-1</f>
        <v>4</v>
      </c>
      <c r="D24" s="14">
        <f>+D6</f>
        <v>5</v>
      </c>
      <c r="E24" s="14">
        <f t="shared" ref="E24:K25" si="15">+E6-1</f>
        <v>4</v>
      </c>
      <c r="F24" s="14">
        <f t="shared" si="15"/>
        <v>6</v>
      </c>
      <c r="G24" s="14">
        <f t="shared" si="15"/>
        <v>4</v>
      </c>
      <c r="H24" s="14">
        <f t="shared" si="15"/>
        <v>5</v>
      </c>
      <c r="I24" s="14">
        <f t="shared" si="15"/>
        <v>4</v>
      </c>
      <c r="J24" s="14">
        <f t="shared" si="15"/>
        <v>5</v>
      </c>
      <c r="K24" s="14">
        <f t="shared" si="15"/>
        <v>5</v>
      </c>
      <c r="L24" s="9">
        <f t="shared" si="7"/>
        <v>42</v>
      </c>
      <c r="M24" s="14">
        <f>+M6-1</f>
        <v>4</v>
      </c>
      <c r="N24" s="14">
        <f>+N6</f>
        <v>6</v>
      </c>
      <c r="O24" s="14">
        <f t="shared" ref="O24:U25" si="16">+O6-1</f>
        <v>5</v>
      </c>
      <c r="P24" s="14">
        <f t="shared" si="16"/>
        <v>5</v>
      </c>
      <c r="Q24" s="14">
        <f t="shared" si="16"/>
        <v>4</v>
      </c>
      <c r="R24" s="14">
        <f t="shared" si="16"/>
        <v>3</v>
      </c>
      <c r="S24" s="14">
        <f t="shared" si="16"/>
        <v>5</v>
      </c>
      <c r="T24" s="14">
        <f t="shared" si="16"/>
        <v>3</v>
      </c>
      <c r="U24" s="14">
        <f t="shared" si="16"/>
        <v>4</v>
      </c>
      <c r="V24" s="9">
        <f t="shared" si="8"/>
        <v>39</v>
      </c>
      <c r="W24" s="9">
        <f t="shared" si="9"/>
        <v>81</v>
      </c>
      <c r="X24" s="8">
        <v>-6.5</v>
      </c>
      <c r="Y24" s="8">
        <f>(0.5*2)-(0.5*10)</f>
        <v>-4</v>
      </c>
      <c r="Z24" s="8">
        <v>-14</v>
      </c>
      <c r="AA24" s="20">
        <f t="shared" si="10"/>
        <v>-24.5</v>
      </c>
      <c r="AB24" s="4">
        <v>-10.199999999999999</v>
      </c>
      <c r="AC24" s="11">
        <f t="shared" si="11"/>
        <v>-34.700000000000003</v>
      </c>
      <c r="AD24" s="5">
        <v>-21.7</v>
      </c>
      <c r="AE24" s="11">
        <f t="shared" si="12"/>
        <v>-10.200000000000003</v>
      </c>
    </row>
    <row r="25" spans="1:31" x14ac:dyDescent="0.3">
      <c r="A25">
        <v>5</v>
      </c>
      <c r="B25" t="str">
        <f t="shared" si="6"/>
        <v>John Sullivan</v>
      </c>
      <c r="C25" s="14">
        <f>+C7-1</f>
        <v>6</v>
      </c>
      <c r="D25" s="14">
        <f>+D7</f>
        <v>4</v>
      </c>
      <c r="E25" s="14">
        <f t="shared" si="15"/>
        <v>4</v>
      </c>
      <c r="F25" s="14">
        <f t="shared" si="15"/>
        <v>5</v>
      </c>
      <c r="G25" s="14">
        <f t="shared" si="15"/>
        <v>3</v>
      </c>
      <c r="H25" s="14">
        <f t="shared" si="15"/>
        <v>3</v>
      </c>
      <c r="I25" s="14">
        <f t="shared" si="15"/>
        <v>6</v>
      </c>
      <c r="J25" s="14">
        <f t="shared" si="15"/>
        <v>4</v>
      </c>
      <c r="K25" s="14">
        <f t="shared" si="15"/>
        <v>3</v>
      </c>
      <c r="L25" s="9">
        <f t="shared" si="7"/>
        <v>38</v>
      </c>
      <c r="M25" s="14">
        <f>+M7-1</f>
        <v>5</v>
      </c>
      <c r="N25" s="14">
        <f>+N7</f>
        <v>5</v>
      </c>
      <c r="O25" s="14">
        <f t="shared" si="16"/>
        <v>5</v>
      </c>
      <c r="P25" s="14">
        <f t="shared" si="16"/>
        <v>5</v>
      </c>
      <c r="Q25" s="14">
        <f t="shared" si="16"/>
        <v>1</v>
      </c>
      <c r="R25" s="14">
        <f t="shared" si="16"/>
        <v>3</v>
      </c>
      <c r="S25" s="14">
        <f t="shared" si="16"/>
        <v>4</v>
      </c>
      <c r="T25" s="14">
        <f t="shared" si="16"/>
        <v>3</v>
      </c>
      <c r="U25" s="14">
        <f t="shared" si="16"/>
        <v>4</v>
      </c>
      <c r="V25" s="9">
        <f>SUM(M25:U25)</f>
        <v>35</v>
      </c>
      <c r="W25" s="9">
        <f t="shared" si="9"/>
        <v>73</v>
      </c>
      <c r="X25" s="8">
        <f>(0.5*7)-(0.5*6)</f>
        <v>0.5</v>
      </c>
      <c r="Y25" s="8">
        <f>(0.5*9)-(0.5*3)</f>
        <v>3</v>
      </c>
      <c r="Z25" s="8">
        <f>(1*10)-(1*4)</f>
        <v>6</v>
      </c>
      <c r="AA25" s="20">
        <f t="shared" si="10"/>
        <v>9.5</v>
      </c>
      <c r="AB25" s="4">
        <v>3.2</v>
      </c>
      <c r="AC25" s="11">
        <f t="shared" si="11"/>
        <v>12.7</v>
      </c>
      <c r="AD25" s="5">
        <v>13.7</v>
      </c>
      <c r="AE25" s="11">
        <f t="shared" si="12"/>
        <v>3.1999999999999993</v>
      </c>
    </row>
    <row r="26" spans="1:31" x14ac:dyDescent="0.3">
      <c r="A26">
        <v>6</v>
      </c>
      <c r="B26" t="str">
        <f t="shared" si="6"/>
        <v>Ralph</v>
      </c>
      <c r="C26" s="14">
        <f>+C8-1</f>
        <v>4</v>
      </c>
      <c r="D26" s="14">
        <f>+D8</f>
        <v>4</v>
      </c>
      <c r="E26" s="14">
        <f>+E8</f>
        <v>3</v>
      </c>
      <c r="F26" s="14">
        <f>+F8-1</f>
        <v>4</v>
      </c>
      <c r="G26" s="14">
        <f>+G8-1</f>
        <v>4</v>
      </c>
      <c r="H26" s="14">
        <f>+H8-1</f>
        <v>3</v>
      </c>
      <c r="I26" s="14">
        <f>+I8-1</f>
        <v>3</v>
      </c>
      <c r="J26" s="14">
        <f>+J8</f>
        <v>4</v>
      </c>
      <c r="K26" s="14">
        <f>+K8-1</f>
        <v>4</v>
      </c>
      <c r="L26" s="9">
        <f t="shared" si="7"/>
        <v>33</v>
      </c>
      <c r="M26" s="14">
        <f>+M8</f>
        <v>8</v>
      </c>
      <c r="N26" s="14">
        <f>+N8</f>
        <v>5</v>
      </c>
      <c r="O26" s="14">
        <f>+O8</f>
        <v>4</v>
      </c>
      <c r="P26" s="14">
        <f>+P8-1</f>
        <v>6</v>
      </c>
      <c r="Q26" s="14">
        <f>+Q8-1</f>
        <v>3</v>
      </c>
      <c r="R26" s="14">
        <f>+R8-1</f>
        <v>3</v>
      </c>
      <c r="S26" s="14">
        <f>+S8-1</f>
        <v>4</v>
      </c>
      <c r="T26" s="14">
        <f>+T8</f>
        <v>6</v>
      </c>
      <c r="U26" s="14">
        <f>+U8-1</f>
        <v>4</v>
      </c>
      <c r="V26" s="9">
        <f t="shared" si="8"/>
        <v>43</v>
      </c>
      <c r="W26" s="9">
        <f t="shared" si="9"/>
        <v>76</v>
      </c>
      <c r="X26" s="8">
        <f>(0.5*13)-(0.5*0)</f>
        <v>6.5</v>
      </c>
      <c r="Y26" s="8">
        <v>-7</v>
      </c>
      <c r="Z26" s="8">
        <f>(1*4)-(1*8)</f>
        <v>-4</v>
      </c>
      <c r="AA26" s="20">
        <f t="shared" si="10"/>
        <v>-4.5</v>
      </c>
      <c r="AB26" s="4">
        <v>0.2</v>
      </c>
      <c r="AC26" s="11">
        <f t="shared" si="11"/>
        <v>-4.3</v>
      </c>
      <c r="AD26" s="5">
        <v>16.7</v>
      </c>
      <c r="AE26" s="11">
        <f t="shared" si="12"/>
        <v>0.20000000000000018</v>
      </c>
    </row>
    <row r="27" spans="1:31" x14ac:dyDescent="0.3">
      <c r="A27">
        <v>7</v>
      </c>
      <c r="B27" t="str">
        <f t="shared" si="6"/>
        <v>Leo</v>
      </c>
      <c r="C27" s="14">
        <f>+C9-3</f>
        <v>3</v>
      </c>
      <c r="D27" s="14">
        <f t="shared" ref="D27:J27" si="17">+D9-3</f>
        <v>7</v>
      </c>
      <c r="E27" s="14">
        <f t="shared" si="17"/>
        <v>8</v>
      </c>
      <c r="F27" s="14">
        <f t="shared" si="17"/>
        <v>5</v>
      </c>
      <c r="G27" s="14">
        <f>+G9-4</f>
        <v>4</v>
      </c>
      <c r="H27" s="14">
        <f t="shared" si="17"/>
        <v>5</v>
      </c>
      <c r="I27" s="14">
        <f>+I9-4</f>
        <v>4</v>
      </c>
      <c r="J27" s="14">
        <f t="shared" si="17"/>
        <v>2</v>
      </c>
      <c r="K27" s="14">
        <f>+K9-4</f>
        <v>2</v>
      </c>
      <c r="L27" s="9">
        <f t="shared" si="7"/>
        <v>40</v>
      </c>
      <c r="M27" s="14">
        <f t="shared" ref="M27:U27" si="18">+M9-3</f>
        <v>6</v>
      </c>
      <c r="N27" s="14">
        <f t="shared" si="18"/>
        <v>7</v>
      </c>
      <c r="O27" s="14">
        <f t="shared" si="18"/>
        <v>2</v>
      </c>
      <c r="P27" s="14">
        <f t="shared" si="18"/>
        <v>8</v>
      </c>
      <c r="Q27" s="14">
        <f>+Q9-4</f>
        <v>3</v>
      </c>
      <c r="R27" s="14">
        <f t="shared" si="18"/>
        <v>3</v>
      </c>
      <c r="S27" s="14">
        <f>+S9-4</f>
        <v>3</v>
      </c>
      <c r="T27" s="14">
        <f t="shared" si="18"/>
        <v>3</v>
      </c>
      <c r="U27" s="14">
        <f t="shared" si="18"/>
        <v>3</v>
      </c>
      <c r="V27" s="9">
        <f t="shared" si="8"/>
        <v>38</v>
      </c>
      <c r="W27" s="9">
        <f t="shared" si="9"/>
        <v>78</v>
      </c>
      <c r="X27" s="8">
        <f>(0.5*3)-(0.5*8)</f>
        <v>-2.5</v>
      </c>
      <c r="Y27" s="8">
        <f>(0.5*5)-(0.5*9)</f>
        <v>-2</v>
      </c>
      <c r="Z27" s="8">
        <f>(1*3)-(1*11)</f>
        <v>-8</v>
      </c>
      <c r="AA27" s="20">
        <f t="shared" si="10"/>
        <v>-12.5</v>
      </c>
      <c r="AB27" s="4">
        <v>0.2</v>
      </c>
      <c r="AC27" s="11">
        <f t="shared" si="11"/>
        <v>-12.3</v>
      </c>
      <c r="AD27" s="5">
        <v>18.7</v>
      </c>
      <c r="AE27" s="11">
        <f t="shared" si="12"/>
        <v>0.19999999999999929</v>
      </c>
    </row>
    <row r="28" spans="1:31" x14ac:dyDescent="0.3">
      <c r="A28">
        <v>8</v>
      </c>
      <c r="B28" t="str">
        <f t="shared" si="6"/>
        <v>Matt Lawrence</v>
      </c>
      <c r="C28" s="14">
        <f>+C10-1</f>
        <v>5</v>
      </c>
      <c r="D28" s="14">
        <f t="shared" ref="D28:K29" si="19">+D10-1</f>
        <v>3</v>
      </c>
      <c r="E28" s="14">
        <f t="shared" si="19"/>
        <v>3</v>
      </c>
      <c r="F28" s="14">
        <f t="shared" si="19"/>
        <v>5</v>
      </c>
      <c r="G28" s="14">
        <f t="shared" si="19"/>
        <v>4</v>
      </c>
      <c r="H28" s="14">
        <f t="shared" si="19"/>
        <v>3</v>
      </c>
      <c r="I28" s="14">
        <f t="shared" si="19"/>
        <v>3</v>
      </c>
      <c r="J28" s="14">
        <f t="shared" si="19"/>
        <v>3</v>
      </c>
      <c r="K28" s="14">
        <f t="shared" si="19"/>
        <v>4</v>
      </c>
      <c r="L28" s="9">
        <f t="shared" si="7"/>
        <v>33</v>
      </c>
      <c r="M28" s="14">
        <f t="shared" ref="M28:U29" si="20">+M10-1</f>
        <v>4</v>
      </c>
      <c r="N28" s="14">
        <f>+N10-1</f>
        <v>5</v>
      </c>
      <c r="O28" s="14">
        <f t="shared" si="20"/>
        <v>4</v>
      </c>
      <c r="P28" s="14">
        <f t="shared" si="20"/>
        <v>3</v>
      </c>
      <c r="Q28" s="14">
        <f t="shared" si="20"/>
        <v>2</v>
      </c>
      <c r="R28" s="14">
        <f t="shared" si="20"/>
        <v>3</v>
      </c>
      <c r="S28" s="14">
        <f t="shared" si="20"/>
        <v>3</v>
      </c>
      <c r="T28" s="14">
        <f t="shared" si="20"/>
        <v>4</v>
      </c>
      <c r="U28" s="14">
        <f t="shared" si="20"/>
        <v>4</v>
      </c>
      <c r="V28" s="9">
        <f t="shared" si="8"/>
        <v>32</v>
      </c>
      <c r="W28" s="9">
        <f t="shared" si="9"/>
        <v>65</v>
      </c>
      <c r="X28" s="8">
        <f>(0.5*13)-(0.5*0)</f>
        <v>6.5</v>
      </c>
      <c r="Y28" s="8">
        <v>7</v>
      </c>
      <c r="Z28" s="8">
        <v>13</v>
      </c>
      <c r="AA28" s="20">
        <f t="shared" si="10"/>
        <v>26.5</v>
      </c>
      <c r="AB28" s="4">
        <v>7.2</v>
      </c>
      <c r="AC28" s="11">
        <f t="shared" si="11"/>
        <v>33.700000000000003</v>
      </c>
      <c r="AD28" s="5">
        <v>34.200000000000003</v>
      </c>
      <c r="AE28" s="11">
        <f t="shared" si="12"/>
        <v>7.2000000000000028</v>
      </c>
    </row>
    <row r="29" spans="1:31" x14ac:dyDescent="0.3">
      <c r="A29">
        <v>9</v>
      </c>
      <c r="B29" t="str">
        <f t="shared" si="6"/>
        <v>Jerry Flynn</v>
      </c>
      <c r="C29" s="14">
        <f>+C11-1</f>
        <v>5</v>
      </c>
      <c r="D29" s="14">
        <f t="shared" si="19"/>
        <v>5</v>
      </c>
      <c r="E29" s="14">
        <f t="shared" si="19"/>
        <v>5</v>
      </c>
      <c r="F29" s="14">
        <f t="shared" si="19"/>
        <v>7</v>
      </c>
      <c r="G29" s="14">
        <f t="shared" si="19"/>
        <v>3</v>
      </c>
      <c r="H29" s="14">
        <f t="shared" si="19"/>
        <v>4</v>
      </c>
      <c r="I29" s="14">
        <f>+I11-2</f>
        <v>3</v>
      </c>
      <c r="J29" s="14">
        <f t="shared" si="19"/>
        <v>4</v>
      </c>
      <c r="K29" s="14">
        <f t="shared" si="19"/>
        <v>4</v>
      </c>
      <c r="L29" s="9">
        <f t="shared" si="7"/>
        <v>40</v>
      </c>
      <c r="M29" s="14">
        <f t="shared" si="20"/>
        <v>4</v>
      </c>
      <c r="N29" s="14">
        <f>+N11-1</f>
        <v>5</v>
      </c>
      <c r="O29" s="14">
        <f t="shared" si="20"/>
        <v>4</v>
      </c>
      <c r="P29" s="14">
        <f t="shared" si="20"/>
        <v>6</v>
      </c>
      <c r="Q29" s="14">
        <f t="shared" si="20"/>
        <v>3</v>
      </c>
      <c r="R29" s="14">
        <f t="shared" si="20"/>
        <v>3</v>
      </c>
      <c r="S29" s="14">
        <f t="shared" si="20"/>
        <v>4</v>
      </c>
      <c r="T29" s="14">
        <f t="shared" si="20"/>
        <v>3</v>
      </c>
      <c r="U29" s="14">
        <f t="shared" si="20"/>
        <v>4</v>
      </c>
      <c r="V29" s="9">
        <f t="shared" si="8"/>
        <v>36</v>
      </c>
      <c r="W29" s="9">
        <f t="shared" si="9"/>
        <v>76</v>
      </c>
      <c r="X29" s="8">
        <f>(0.5*3)-(0.5*8)</f>
        <v>-2.5</v>
      </c>
      <c r="Y29" s="8">
        <f>(0.5*7)-(0.5*6)</f>
        <v>0.5</v>
      </c>
      <c r="Z29" s="8">
        <f>(1*4)-(1*8)</f>
        <v>-4</v>
      </c>
      <c r="AA29" s="20">
        <f t="shared" si="10"/>
        <v>-6</v>
      </c>
      <c r="AB29" s="4">
        <v>-0.1</v>
      </c>
      <c r="AC29" s="11">
        <f t="shared" si="11"/>
        <v>-6.1</v>
      </c>
      <c r="AD29" s="5">
        <v>-23.1</v>
      </c>
      <c r="AE29" s="11">
        <f t="shared" si="12"/>
        <v>-9.9999999999999645E-2</v>
      </c>
    </row>
    <row r="30" spans="1:31" x14ac:dyDescent="0.3">
      <c r="A30">
        <v>10</v>
      </c>
      <c r="B30" t="str">
        <f t="shared" si="6"/>
        <v>Mike Flynn</v>
      </c>
      <c r="C30" s="14">
        <f>+C12-1</f>
        <v>4</v>
      </c>
      <c r="D30" s="14">
        <f>+D12</f>
        <v>7</v>
      </c>
      <c r="E30" s="14">
        <f>+E12</f>
        <v>5</v>
      </c>
      <c r="F30" s="14">
        <f t="shared" ref="F30:K30" si="21">+F12-1</f>
        <v>5</v>
      </c>
      <c r="G30" s="14">
        <f t="shared" si="21"/>
        <v>3</v>
      </c>
      <c r="H30" s="14">
        <f t="shared" si="21"/>
        <v>2</v>
      </c>
      <c r="I30" s="14">
        <f t="shared" si="21"/>
        <v>6</v>
      </c>
      <c r="J30" s="14">
        <f t="shared" si="21"/>
        <v>4</v>
      </c>
      <c r="K30" s="14">
        <f t="shared" si="21"/>
        <v>4</v>
      </c>
      <c r="L30" s="9">
        <f t="shared" si="7"/>
        <v>40</v>
      </c>
      <c r="M30" s="14">
        <f>+M12-1</f>
        <v>5</v>
      </c>
      <c r="N30" s="14">
        <f>+N12</f>
        <v>4</v>
      </c>
      <c r="O30" s="14">
        <f>+O12</f>
        <v>6</v>
      </c>
      <c r="P30" s="14">
        <f>+P12-1</f>
        <v>5</v>
      </c>
      <c r="Q30" s="14">
        <f>+Q12-1</f>
        <v>2</v>
      </c>
      <c r="R30" s="14">
        <f>+R12-1</f>
        <v>3</v>
      </c>
      <c r="S30" s="14">
        <f>+S12-1</f>
        <v>5</v>
      </c>
      <c r="T30" s="14">
        <f>+T12</f>
        <v>5</v>
      </c>
      <c r="U30" s="14">
        <f>+U12-1</f>
        <v>4</v>
      </c>
      <c r="V30" s="9">
        <f t="shared" si="8"/>
        <v>39</v>
      </c>
      <c r="W30" s="9">
        <f t="shared" si="9"/>
        <v>79</v>
      </c>
      <c r="X30" s="8">
        <f>(0.5*3)-(0.5*8)</f>
        <v>-2.5</v>
      </c>
      <c r="Y30" s="8">
        <f>(0.5*2)-(0.5*10)</f>
        <v>-4</v>
      </c>
      <c r="Z30" s="8">
        <f>(1*2)-(1*12)</f>
        <v>-10</v>
      </c>
      <c r="AA30" s="20">
        <f t="shared" si="10"/>
        <v>-16.5</v>
      </c>
      <c r="AB30" s="4">
        <v>-4.5999999999999996</v>
      </c>
      <c r="AC30" s="11">
        <f t="shared" si="11"/>
        <v>-21.1</v>
      </c>
      <c r="AD30" s="5">
        <v>-21.6</v>
      </c>
      <c r="AE30" s="11">
        <f t="shared" si="12"/>
        <v>-4.6000000000000014</v>
      </c>
    </row>
    <row r="31" spans="1:31" x14ac:dyDescent="0.3">
      <c r="A31">
        <v>11</v>
      </c>
      <c r="B31" t="str">
        <f t="shared" si="6"/>
        <v>Kevin Fitzgerald</v>
      </c>
      <c r="C31" s="14">
        <f>+C13-2</f>
        <v>4</v>
      </c>
      <c r="D31" s="14">
        <f t="shared" ref="D31:K31" si="22">+D13-2</f>
        <v>7</v>
      </c>
      <c r="E31" s="14">
        <f t="shared" si="22"/>
        <v>8</v>
      </c>
      <c r="F31" s="14">
        <f t="shared" si="22"/>
        <v>4</v>
      </c>
      <c r="G31" s="14">
        <f t="shared" si="22"/>
        <v>2</v>
      </c>
      <c r="H31" s="14">
        <f t="shared" si="22"/>
        <v>4</v>
      </c>
      <c r="I31" s="14">
        <f t="shared" si="22"/>
        <v>4</v>
      </c>
      <c r="J31" s="14">
        <f t="shared" si="22"/>
        <v>4</v>
      </c>
      <c r="K31" s="14">
        <f t="shared" si="22"/>
        <v>4</v>
      </c>
      <c r="L31" s="9">
        <f t="shared" si="7"/>
        <v>41</v>
      </c>
      <c r="M31" s="14">
        <f t="shared" ref="M31:U31" si="23">+M13-2</f>
        <v>3</v>
      </c>
      <c r="N31" s="14">
        <f t="shared" si="23"/>
        <v>4</v>
      </c>
      <c r="O31" s="14">
        <f t="shared" si="23"/>
        <v>3</v>
      </c>
      <c r="P31" s="14">
        <f t="shared" si="23"/>
        <v>8</v>
      </c>
      <c r="Q31" s="14">
        <f t="shared" si="23"/>
        <v>4</v>
      </c>
      <c r="R31" s="14">
        <f t="shared" si="23"/>
        <v>6</v>
      </c>
      <c r="S31" s="14">
        <f t="shared" si="23"/>
        <v>5</v>
      </c>
      <c r="T31" s="14">
        <f t="shared" si="23"/>
        <v>2</v>
      </c>
      <c r="U31" s="14">
        <f t="shared" si="23"/>
        <v>4</v>
      </c>
      <c r="V31" s="9">
        <f t="shared" si="8"/>
        <v>39</v>
      </c>
      <c r="W31" s="14">
        <f t="shared" si="9"/>
        <v>80</v>
      </c>
      <c r="X31" s="8">
        <f>(0.5*2)-(0.5*12)</f>
        <v>-5</v>
      </c>
      <c r="Y31" s="8">
        <f>(0.5*2)-(0.5*10)</f>
        <v>-4</v>
      </c>
      <c r="Z31" s="8">
        <f>(1*1)-(1*13)</f>
        <v>-12</v>
      </c>
      <c r="AA31" s="20">
        <f t="shared" si="10"/>
        <v>-21</v>
      </c>
      <c r="AB31" s="4">
        <v>1.6</v>
      </c>
      <c r="AC31" s="11">
        <f t="shared" si="11"/>
        <v>-19.399999999999999</v>
      </c>
      <c r="AD31" s="5">
        <v>-26.4</v>
      </c>
      <c r="AE31" s="11">
        <f t="shared" si="12"/>
        <v>1.6000000000000014</v>
      </c>
    </row>
    <row r="32" spans="1:31" x14ac:dyDescent="0.3">
      <c r="A32">
        <v>12</v>
      </c>
      <c r="B32" t="str">
        <f t="shared" si="6"/>
        <v>Richard McGovern</v>
      </c>
      <c r="C32" s="14">
        <f>+C14-1</f>
        <v>5</v>
      </c>
      <c r="D32" s="14">
        <f>+D14-1</f>
        <v>5</v>
      </c>
      <c r="E32" s="14">
        <f>+E14-1</f>
        <v>6</v>
      </c>
      <c r="F32" s="14">
        <f t="shared" ref="F32:I33" si="24">+F14-2</f>
        <v>5</v>
      </c>
      <c r="G32" s="14">
        <f t="shared" si="24"/>
        <v>3</v>
      </c>
      <c r="H32" s="14">
        <f t="shared" si="24"/>
        <v>1</v>
      </c>
      <c r="I32" s="14">
        <f t="shared" si="24"/>
        <v>3</v>
      </c>
      <c r="J32" s="14">
        <f>+J14-1</f>
        <v>4</v>
      </c>
      <c r="K32" s="14">
        <f>+K14-2</f>
        <v>2</v>
      </c>
      <c r="L32" s="9">
        <f t="shared" si="7"/>
        <v>34</v>
      </c>
      <c r="M32" s="14">
        <f>+M14-1</f>
        <v>4</v>
      </c>
      <c r="N32" s="14">
        <f>+N14-1</f>
        <v>5</v>
      </c>
      <c r="O32" s="14">
        <f>+O14-1</f>
        <v>6</v>
      </c>
      <c r="P32" s="14">
        <f t="shared" ref="P32:S33" si="25">+P14-2</f>
        <v>6</v>
      </c>
      <c r="Q32" s="14">
        <f t="shared" si="25"/>
        <v>2</v>
      </c>
      <c r="R32" s="14">
        <f t="shared" si="25"/>
        <v>2</v>
      </c>
      <c r="S32" s="14">
        <f t="shared" si="25"/>
        <v>6</v>
      </c>
      <c r="T32" s="14">
        <f>+T14-1</f>
        <v>3</v>
      </c>
      <c r="U32" s="14">
        <f>+U14-2</f>
        <v>3</v>
      </c>
      <c r="V32" s="9">
        <f t="shared" si="8"/>
        <v>37</v>
      </c>
      <c r="W32" s="9">
        <f t="shared" si="9"/>
        <v>71</v>
      </c>
      <c r="X32" s="8">
        <f>(0.5*11)-(0.5*2)</f>
        <v>4.5</v>
      </c>
      <c r="Y32" s="8">
        <f>(0.5*6)-(0.5*8)</f>
        <v>-1</v>
      </c>
      <c r="Z32" s="8">
        <f>(1*11)-(1*3)</f>
        <v>8</v>
      </c>
      <c r="AA32" s="20">
        <f t="shared" si="10"/>
        <v>11.5</v>
      </c>
      <c r="AB32" s="4">
        <v>-5.8</v>
      </c>
      <c r="AC32" s="11">
        <f t="shared" si="11"/>
        <v>5.7</v>
      </c>
      <c r="AD32" s="5">
        <v>0.70000000000000018</v>
      </c>
      <c r="AE32" s="5">
        <f t="shared" si="12"/>
        <v>-5.8</v>
      </c>
    </row>
    <row r="33" spans="1:31" x14ac:dyDescent="0.3">
      <c r="A33">
        <v>13</v>
      </c>
      <c r="B33" t="str">
        <f t="shared" si="6"/>
        <v>Richie Payne</v>
      </c>
      <c r="C33" s="14">
        <f>+C15-2</f>
        <v>4</v>
      </c>
      <c r="D33" s="14">
        <f>+D15-1</f>
        <v>5</v>
      </c>
      <c r="E33" s="14">
        <f>+E15-1</f>
        <v>5</v>
      </c>
      <c r="F33" s="14">
        <f t="shared" si="24"/>
        <v>4</v>
      </c>
      <c r="G33" s="14">
        <f t="shared" si="24"/>
        <v>4</v>
      </c>
      <c r="H33" s="14">
        <f t="shared" si="24"/>
        <v>2</v>
      </c>
      <c r="I33" s="14">
        <f t="shared" si="24"/>
        <v>3</v>
      </c>
      <c r="J33" s="14">
        <f>+J15-2</f>
        <v>5</v>
      </c>
      <c r="K33" s="14">
        <f>+K15-2</f>
        <v>2</v>
      </c>
      <c r="L33" s="9">
        <f t="shared" si="7"/>
        <v>34</v>
      </c>
      <c r="M33" s="14">
        <f>+M15-2</f>
        <v>6</v>
      </c>
      <c r="N33" s="14">
        <f>+N15-1</f>
        <v>5</v>
      </c>
      <c r="O33" s="14">
        <f>+O15-1</f>
        <v>5</v>
      </c>
      <c r="P33" s="14">
        <f t="shared" si="25"/>
        <v>5</v>
      </c>
      <c r="Q33" s="14">
        <f t="shared" si="25"/>
        <v>2</v>
      </c>
      <c r="R33" s="14">
        <f t="shared" si="25"/>
        <v>2</v>
      </c>
      <c r="S33" s="14">
        <f t="shared" si="25"/>
        <v>4</v>
      </c>
      <c r="T33" s="14">
        <f>+T15-1</f>
        <v>5</v>
      </c>
      <c r="U33" s="14">
        <f>+U15-2</f>
        <v>6</v>
      </c>
      <c r="V33" s="9">
        <f t="shared" si="8"/>
        <v>40</v>
      </c>
      <c r="W33" s="9">
        <f t="shared" si="9"/>
        <v>74</v>
      </c>
      <c r="X33" s="8">
        <f>(0.5*11)-(0.5*2)</f>
        <v>4.5</v>
      </c>
      <c r="Y33" s="8">
        <f>(0.5*1)-(0.5*15)</f>
        <v>-7</v>
      </c>
      <c r="Z33" s="8">
        <f>(1*8)-(1*4)</f>
        <v>4</v>
      </c>
      <c r="AA33" s="20">
        <f t="shared" si="10"/>
        <v>1.5</v>
      </c>
      <c r="AB33" s="4">
        <v>4</v>
      </c>
      <c r="AC33" s="11">
        <f t="shared" si="11"/>
        <v>5.5</v>
      </c>
      <c r="AD33" s="5">
        <v>-4</v>
      </c>
      <c r="AE33" s="5">
        <f t="shared" si="12"/>
        <v>4</v>
      </c>
    </row>
    <row r="34" spans="1:31" x14ac:dyDescent="0.3">
      <c r="A34">
        <v>14</v>
      </c>
      <c r="B34" t="str">
        <f t="shared" si="6"/>
        <v>Ed Cox</v>
      </c>
      <c r="C34" s="14">
        <f>+C16-3</f>
        <v>6</v>
      </c>
      <c r="D34" s="14">
        <f t="shared" ref="D34:K34" si="26">+D16-3</f>
        <v>5</v>
      </c>
      <c r="E34" s="14">
        <f t="shared" si="26"/>
        <v>2</v>
      </c>
      <c r="F34" s="14">
        <f t="shared" si="26"/>
        <v>5</v>
      </c>
      <c r="G34" s="14">
        <f t="shared" si="26"/>
        <v>3</v>
      </c>
      <c r="H34" s="14">
        <f t="shared" si="26"/>
        <v>2</v>
      </c>
      <c r="I34" s="14">
        <f t="shared" si="26"/>
        <v>4</v>
      </c>
      <c r="J34" s="14">
        <f t="shared" si="26"/>
        <v>4</v>
      </c>
      <c r="K34" s="14">
        <f t="shared" si="26"/>
        <v>4</v>
      </c>
      <c r="L34" s="9">
        <f t="shared" si="7"/>
        <v>35</v>
      </c>
      <c r="M34" s="14">
        <f t="shared" ref="M34:U34" si="27">+M16-3</f>
        <v>3</v>
      </c>
      <c r="N34" s="14">
        <f t="shared" si="27"/>
        <v>4</v>
      </c>
      <c r="O34" s="14">
        <f t="shared" si="27"/>
        <v>5</v>
      </c>
      <c r="P34" s="14">
        <f t="shared" si="27"/>
        <v>4</v>
      </c>
      <c r="Q34" s="14">
        <f t="shared" si="27"/>
        <v>4</v>
      </c>
      <c r="R34" s="14">
        <f t="shared" si="27"/>
        <v>5</v>
      </c>
      <c r="S34" s="14">
        <f t="shared" si="27"/>
        <v>3</v>
      </c>
      <c r="T34" s="14">
        <f t="shared" si="27"/>
        <v>3</v>
      </c>
      <c r="U34" s="14">
        <f t="shared" si="27"/>
        <v>3</v>
      </c>
      <c r="V34" s="9">
        <f t="shared" si="8"/>
        <v>34</v>
      </c>
      <c r="W34" s="9">
        <f t="shared" si="9"/>
        <v>69</v>
      </c>
      <c r="X34" s="8">
        <f>(0.5*9)-(0.5*4)</f>
        <v>2.5</v>
      </c>
      <c r="Y34" s="8">
        <f>(0.5*13)-(0.5*1)</f>
        <v>6</v>
      </c>
      <c r="Z34" s="8">
        <v>11</v>
      </c>
      <c r="AA34" s="20">
        <f t="shared" si="10"/>
        <v>19.5</v>
      </c>
      <c r="AB34" s="4">
        <v>6.7</v>
      </c>
      <c r="AC34" s="11">
        <f t="shared" si="11"/>
        <v>26.2</v>
      </c>
      <c r="AD34" s="5">
        <v>21.2</v>
      </c>
      <c r="AE34" s="11">
        <f t="shared" si="12"/>
        <v>6.6999999999999993</v>
      </c>
    </row>
    <row r="35" spans="1:31" x14ac:dyDescent="0.3">
      <c r="A35">
        <v>15</v>
      </c>
      <c r="B35" t="str">
        <f t="shared" si="6"/>
        <v>Jack Sullivan</v>
      </c>
      <c r="C35" s="14">
        <f>+C17-1</f>
        <v>4</v>
      </c>
      <c r="D35" s="14">
        <f t="shared" ref="D35:J35" si="28">+D17-1</f>
        <v>5</v>
      </c>
      <c r="E35" s="14">
        <f t="shared" si="28"/>
        <v>5</v>
      </c>
      <c r="F35" s="14">
        <f>+F17-2</f>
        <v>5</v>
      </c>
      <c r="G35" s="14">
        <f>+G17-2</f>
        <v>3</v>
      </c>
      <c r="H35" s="14">
        <f>+H17-2</f>
        <v>4</v>
      </c>
      <c r="I35" s="14">
        <f>+I17-2</f>
        <v>4</v>
      </c>
      <c r="J35" s="14">
        <f t="shared" si="28"/>
        <v>6</v>
      </c>
      <c r="K35" s="14">
        <f>+K17-2</f>
        <v>4</v>
      </c>
      <c r="L35" s="9">
        <f t="shared" si="7"/>
        <v>40</v>
      </c>
      <c r="M35" s="14">
        <f t="shared" ref="M35:T35" si="29">+M17-1</f>
        <v>4</v>
      </c>
      <c r="N35" s="14">
        <f t="shared" si="29"/>
        <v>5</v>
      </c>
      <c r="O35" s="14">
        <f t="shared" si="29"/>
        <v>5</v>
      </c>
      <c r="P35" s="14">
        <f>+P17-2</f>
        <v>5</v>
      </c>
      <c r="Q35" s="14">
        <f>+Q17-2</f>
        <v>1</v>
      </c>
      <c r="R35" s="14">
        <f t="shared" si="29"/>
        <v>4</v>
      </c>
      <c r="S35" s="14">
        <f>+S17-2</f>
        <v>5</v>
      </c>
      <c r="T35" s="14">
        <f t="shared" si="29"/>
        <v>4</v>
      </c>
      <c r="U35" s="14">
        <f>+U17-2</f>
        <v>2</v>
      </c>
      <c r="V35" s="9">
        <f t="shared" si="8"/>
        <v>35</v>
      </c>
      <c r="W35" s="9">
        <f t="shared" si="9"/>
        <v>75</v>
      </c>
      <c r="X35" s="8">
        <f>(0.5*3)-(0.5*8)</f>
        <v>-2.5</v>
      </c>
      <c r="Y35" s="8">
        <f>(0.5*9)-(0.5*3)</f>
        <v>3</v>
      </c>
      <c r="Z35" s="8">
        <f>(1*7)-(1*7)</f>
        <v>0</v>
      </c>
      <c r="AA35" s="20">
        <f t="shared" si="10"/>
        <v>0.5</v>
      </c>
      <c r="AB35" s="4">
        <v>-3.8</v>
      </c>
      <c r="AC35" s="11">
        <f t="shared" si="11"/>
        <v>-3.3</v>
      </c>
      <c r="AD35" s="5">
        <v>-6.8</v>
      </c>
      <c r="AE35" s="11">
        <f t="shared" si="12"/>
        <v>-3.8</v>
      </c>
    </row>
    <row r="36" spans="1:31" x14ac:dyDescent="0.3">
      <c r="B36" s="1" t="s">
        <v>19</v>
      </c>
      <c r="L36" s="6"/>
      <c r="V36" s="6"/>
      <c r="W36" s="6"/>
      <c r="X36" s="4">
        <f t="shared" ref="X36:AC36" si="30">SUM(X21:X35)</f>
        <v>0</v>
      </c>
      <c r="Y36" s="4">
        <f t="shared" si="30"/>
        <v>0</v>
      </c>
      <c r="Z36" s="4">
        <f t="shared" si="30"/>
        <v>0</v>
      </c>
      <c r="AA36" s="4">
        <f t="shared" si="30"/>
        <v>0</v>
      </c>
      <c r="AB36" s="4">
        <f t="shared" si="30"/>
        <v>0</v>
      </c>
      <c r="AC36" s="4">
        <f t="shared" si="30"/>
        <v>0</v>
      </c>
    </row>
    <row r="37" spans="1:31" x14ac:dyDescent="0.3">
      <c r="B37" t="str">
        <f t="shared" ref="B37:B51" si="31">+B21</f>
        <v>Dave Kizer</v>
      </c>
      <c r="C37">
        <v>4</v>
      </c>
      <c r="D37">
        <v>10</v>
      </c>
      <c r="E37">
        <v>0</v>
      </c>
      <c r="F37">
        <v>1</v>
      </c>
      <c r="G37">
        <v>9</v>
      </c>
      <c r="H37">
        <v>5</v>
      </c>
      <c r="I37">
        <v>2</v>
      </c>
      <c r="J37">
        <v>6</v>
      </c>
      <c r="K37">
        <v>2</v>
      </c>
      <c r="L37" s="6"/>
      <c r="M37">
        <v>11</v>
      </c>
      <c r="N37">
        <v>6</v>
      </c>
      <c r="O37">
        <v>1</v>
      </c>
      <c r="P37">
        <v>2</v>
      </c>
      <c r="Q37">
        <v>8</v>
      </c>
      <c r="R37">
        <v>8</v>
      </c>
      <c r="S37">
        <v>2</v>
      </c>
      <c r="T37">
        <v>9</v>
      </c>
      <c r="U37">
        <v>2</v>
      </c>
      <c r="V37" s="6"/>
      <c r="W37" s="6"/>
    </row>
    <row r="38" spans="1:31" x14ac:dyDescent="0.3">
      <c r="B38" t="str">
        <f t="shared" si="31"/>
        <v>Bernie Sullivan</v>
      </c>
      <c r="C38">
        <v>14</v>
      </c>
      <c r="D38">
        <v>6</v>
      </c>
      <c r="E38">
        <v>6</v>
      </c>
      <c r="F38">
        <v>0</v>
      </c>
      <c r="G38">
        <v>9</v>
      </c>
      <c r="H38">
        <v>1</v>
      </c>
      <c r="I38">
        <v>2</v>
      </c>
      <c r="J38">
        <v>6</v>
      </c>
      <c r="K38">
        <v>0</v>
      </c>
      <c r="L38" s="6"/>
      <c r="M38">
        <v>6</v>
      </c>
      <c r="N38">
        <v>1</v>
      </c>
      <c r="O38">
        <v>10</v>
      </c>
      <c r="P38">
        <v>2</v>
      </c>
      <c r="Q38">
        <v>8</v>
      </c>
      <c r="R38">
        <v>2</v>
      </c>
      <c r="S38">
        <v>0</v>
      </c>
      <c r="T38">
        <v>4</v>
      </c>
      <c r="U38">
        <v>4</v>
      </c>
      <c r="V38" s="6"/>
      <c r="W38" s="6"/>
    </row>
    <row r="39" spans="1:31" x14ac:dyDescent="0.3">
      <c r="B39" t="str">
        <f t="shared" si="31"/>
        <v>Joe McCardel</v>
      </c>
      <c r="C39">
        <v>8</v>
      </c>
      <c r="D39">
        <v>0</v>
      </c>
      <c r="E39">
        <v>2</v>
      </c>
      <c r="F39">
        <v>1</v>
      </c>
      <c r="G39">
        <v>0</v>
      </c>
      <c r="H39">
        <f>+H37</f>
        <v>5</v>
      </c>
      <c r="I39">
        <v>2</v>
      </c>
      <c r="J39">
        <v>1</v>
      </c>
      <c r="K39">
        <v>10</v>
      </c>
      <c r="L39" s="6"/>
      <c r="M39">
        <v>1</v>
      </c>
      <c r="N39">
        <v>1</v>
      </c>
      <c r="O39">
        <v>0</v>
      </c>
      <c r="P39">
        <v>2</v>
      </c>
      <c r="Q39">
        <v>0</v>
      </c>
      <c r="R39">
        <v>4</v>
      </c>
      <c r="S39">
        <v>2</v>
      </c>
      <c r="T39">
        <v>4</v>
      </c>
      <c r="U39">
        <v>2</v>
      </c>
      <c r="V39" s="6"/>
      <c r="W39" s="6"/>
    </row>
    <row r="40" spans="1:31" x14ac:dyDescent="0.3">
      <c r="B40" t="str">
        <f t="shared" si="31"/>
        <v>Dave Brauer</v>
      </c>
      <c r="C40">
        <v>8</v>
      </c>
      <c r="D40">
        <v>6</v>
      </c>
      <c r="E40">
        <v>2</v>
      </c>
      <c r="F40">
        <v>1</v>
      </c>
      <c r="G40">
        <v>3</v>
      </c>
      <c r="H40">
        <v>2</v>
      </c>
      <c r="I40">
        <v>9</v>
      </c>
      <c r="J40">
        <v>1</v>
      </c>
      <c r="K40">
        <v>2</v>
      </c>
      <c r="L40" s="6"/>
      <c r="M40">
        <f>+M38</f>
        <v>6</v>
      </c>
      <c r="N40">
        <v>6</v>
      </c>
      <c r="O40">
        <v>6</v>
      </c>
      <c r="P40">
        <v>0</v>
      </c>
      <c r="Q40">
        <v>2</v>
      </c>
      <c r="R40">
        <v>4</v>
      </c>
      <c r="S40">
        <v>11</v>
      </c>
      <c r="T40">
        <v>9</v>
      </c>
      <c r="U40">
        <v>4</v>
      </c>
      <c r="V40" s="6"/>
      <c r="W40" s="6"/>
    </row>
    <row r="41" spans="1:31" x14ac:dyDescent="0.3">
      <c r="B41" t="str">
        <f t="shared" si="31"/>
        <v>John Sullivan</v>
      </c>
      <c r="C41">
        <v>8</v>
      </c>
      <c r="D41" s="7">
        <v>10</v>
      </c>
      <c r="E41">
        <v>6</v>
      </c>
      <c r="F41">
        <v>10</v>
      </c>
      <c r="G41">
        <v>9</v>
      </c>
      <c r="H41">
        <v>0</v>
      </c>
      <c r="I41">
        <v>2</v>
      </c>
      <c r="J41">
        <v>6</v>
      </c>
      <c r="K41">
        <v>10</v>
      </c>
      <c r="L41" s="6"/>
      <c r="M41">
        <f>+M39</f>
        <v>1</v>
      </c>
      <c r="N41">
        <v>11</v>
      </c>
      <c r="O41">
        <v>6</v>
      </c>
      <c r="P41">
        <v>2</v>
      </c>
      <c r="Q41">
        <v>2</v>
      </c>
      <c r="R41">
        <v>4</v>
      </c>
      <c r="S41">
        <v>10</v>
      </c>
      <c r="T41">
        <v>4</v>
      </c>
      <c r="U41">
        <v>4</v>
      </c>
      <c r="V41" s="6"/>
      <c r="W41" s="6"/>
    </row>
    <row r="42" spans="1:31" x14ac:dyDescent="0.3">
      <c r="B42" t="str">
        <f t="shared" si="31"/>
        <v>Ralph</v>
      </c>
      <c r="C42">
        <v>8</v>
      </c>
      <c r="D42">
        <v>4</v>
      </c>
      <c r="E42">
        <v>2</v>
      </c>
      <c r="F42">
        <v>10</v>
      </c>
      <c r="G42">
        <v>3</v>
      </c>
      <c r="H42">
        <f>+H39</f>
        <v>5</v>
      </c>
      <c r="I42">
        <v>0</v>
      </c>
      <c r="J42">
        <v>6</v>
      </c>
      <c r="K42">
        <v>2</v>
      </c>
      <c r="L42" s="6"/>
      <c r="M42">
        <f>+M40</f>
        <v>6</v>
      </c>
      <c r="N42">
        <v>0</v>
      </c>
      <c r="O42">
        <v>1</v>
      </c>
      <c r="P42">
        <v>2</v>
      </c>
      <c r="Q42">
        <v>2</v>
      </c>
      <c r="R42">
        <v>0</v>
      </c>
      <c r="S42">
        <v>0</v>
      </c>
      <c r="T42">
        <v>4</v>
      </c>
      <c r="U42">
        <v>1</v>
      </c>
      <c r="V42" s="6"/>
      <c r="W42" s="6"/>
    </row>
    <row r="43" spans="1:31" x14ac:dyDescent="0.3">
      <c r="B43" t="str">
        <f t="shared" si="31"/>
        <v>Leo</v>
      </c>
      <c r="C43">
        <v>15</v>
      </c>
      <c r="D43">
        <v>1</v>
      </c>
      <c r="E43">
        <v>6</v>
      </c>
      <c r="F43">
        <v>5</v>
      </c>
      <c r="G43">
        <v>1</v>
      </c>
      <c r="H43">
        <v>11</v>
      </c>
      <c r="I43">
        <v>0</v>
      </c>
      <c r="J43">
        <v>1</v>
      </c>
      <c r="K43">
        <v>2</v>
      </c>
      <c r="L43" s="6"/>
      <c r="M43">
        <v>1</v>
      </c>
      <c r="N43">
        <v>6</v>
      </c>
      <c r="O43">
        <v>1</v>
      </c>
      <c r="P43">
        <v>2</v>
      </c>
      <c r="Q43">
        <v>2</v>
      </c>
      <c r="R43">
        <v>8</v>
      </c>
      <c r="S43">
        <f>+S37</f>
        <v>2</v>
      </c>
      <c r="T43">
        <v>1</v>
      </c>
      <c r="U43">
        <v>11</v>
      </c>
      <c r="V43" s="6"/>
      <c r="W43" s="6"/>
    </row>
    <row r="44" spans="1:31" x14ac:dyDescent="0.3">
      <c r="B44" t="str">
        <f t="shared" si="31"/>
        <v>Matt Lawrence</v>
      </c>
      <c r="C44">
        <f>+C42</f>
        <v>8</v>
      </c>
      <c r="D44">
        <v>6</v>
      </c>
      <c r="E44">
        <v>6</v>
      </c>
      <c r="F44">
        <v>5</v>
      </c>
      <c r="G44">
        <v>2</v>
      </c>
      <c r="H44">
        <v>2</v>
      </c>
      <c r="I44">
        <v>9</v>
      </c>
      <c r="J44">
        <v>1</v>
      </c>
      <c r="K44">
        <v>2</v>
      </c>
      <c r="L44" s="6"/>
      <c r="M44">
        <f>+M42</f>
        <v>6</v>
      </c>
      <c r="N44">
        <v>6</v>
      </c>
      <c r="O44">
        <v>6</v>
      </c>
      <c r="P44">
        <v>2</v>
      </c>
      <c r="Q44">
        <v>0</v>
      </c>
      <c r="R44">
        <v>8</v>
      </c>
      <c r="S44">
        <v>2</v>
      </c>
      <c r="T44">
        <v>4</v>
      </c>
      <c r="U44">
        <v>4</v>
      </c>
      <c r="V44" s="6"/>
      <c r="W44" s="6"/>
    </row>
    <row r="45" spans="1:31" x14ac:dyDescent="0.3">
      <c r="B45" t="str">
        <f t="shared" si="31"/>
        <v>Jerry Flynn</v>
      </c>
      <c r="C45">
        <f>+C44</f>
        <v>8</v>
      </c>
      <c r="D45">
        <v>4</v>
      </c>
      <c r="E45">
        <v>0</v>
      </c>
      <c r="F45">
        <v>5</v>
      </c>
      <c r="G45">
        <v>3</v>
      </c>
      <c r="H45">
        <f>+H42</f>
        <v>5</v>
      </c>
      <c r="I45">
        <v>2</v>
      </c>
      <c r="J45">
        <v>6</v>
      </c>
      <c r="K45">
        <v>0</v>
      </c>
      <c r="L45" s="6"/>
      <c r="M45">
        <v>0</v>
      </c>
      <c r="N45">
        <v>1</v>
      </c>
      <c r="O45">
        <v>1</v>
      </c>
      <c r="P45">
        <v>2</v>
      </c>
      <c r="Q45">
        <v>2</v>
      </c>
      <c r="R45">
        <v>8</v>
      </c>
      <c r="S45">
        <v>2</v>
      </c>
      <c r="T45">
        <v>1</v>
      </c>
      <c r="U45">
        <v>4</v>
      </c>
      <c r="V45" s="6"/>
      <c r="W45" s="6"/>
    </row>
    <row r="46" spans="1:31" x14ac:dyDescent="0.3">
      <c r="B46" t="str">
        <f t="shared" si="31"/>
        <v>Mike Flynn</v>
      </c>
      <c r="C46">
        <v>4</v>
      </c>
      <c r="D46">
        <v>6</v>
      </c>
      <c r="E46">
        <v>6</v>
      </c>
      <c r="F46">
        <v>5</v>
      </c>
      <c r="G46">
        <v>3</v>
      </c>
      <c r="H46">
        <v>9</v>
      </c>
      <c r="I46">
        <v>2</v>
      </c>
      <c r="J46">
        <v>1</v>
      </c>
      <c r="K46">
        <v>2</v>
      </c>
      <c r="L46" s="6"/>
      <c r="M46">
        <v>1</v>
      </c>
      <c r="N46">
        <v>1</v>
      </c>
      <c r="O46">
        <v>6</v>
      </c>
      <c r="P46">
        <v>2</v>
      </c>
      <c r="Q46">
        <v>8</v>
      </c>
      <c r="R46">
        <v>8</v>
      </c>
      <c r="S46">
        <v>2</v>
      </c>
      <c r="T46">
        <v>1</v>
      </c>
      <c r="U46">
        <v>4</v>
      </c>
      <c r="V46" s="6"/>
      <c r="W46" s="6"/>
    </row>
    <row r="47" spans="1:31" x14ac:dyDescent="0.3">
      <c r="B47" t="str">
        <f t="shared" si="31"/>
        <v>Kevin Fitzgerald</v>
      </c>
      <c r="C47">
        <v>0</v>
      </c>
      <c r="D47">
        <v>1</v>
      </c>
      <c r="E47">
        <v>2</v>
      </c>
      <c r="F47">
        <v>1</v>
      </c>
      <c r="G47">
        <v>3</v>
      </c>
      <c r="H47">
        <f>+H40</f>
        <v>2</v>
      </c>
      <c r="I47">
        <v>2</v>
      </c>
      <c r="J47">
        <v>6</v>
      </c>
      <c r="K47">
        <v>2</v>
      </c>
      <c r="L47" s="6"/>
      <c r="M47">
        <f>+M44</f>
        <v>6</v>
      </c>
      <c r="N47">
        <v>6</v>
      </c>
      <c r="O47">
        <v>10</v>
      </c>
      <c r="P47">
        <v>2</v>
      </c>
      <c r="Q47">
        <v>8</v>
      </c>
      <c r="R47">
        <v>0</v>
      </c>
      <c r="S47">
        <v>2</v>
      </c>
      <c r="T47">
        <v>9</v>
      </c>
      <c r="U47">
        <v>0</v>
      </c>
      <c r="V47" s="6"/>
      <c r="W47" s="6"/>
    </row>
    <row r="48" spans="1:31" x14ac:dyDescent="0.3">
      <c r="B48" t="str">
        <f t="shared" si="31"/>
        <v>Richard McGovern</v>
      </c>
      <c r="C48">
        <v>4</v>
      </c>
      <c r="D48">
        <v>1</v>
      </c>
      <c r="E48">
        <v>11</v>
      </c>
      <c r="F48">
        <v>5</v>
      </c>
      <c r="G48">
        <v>3</v>
      </c>
      <c r="H48">
        <f>+H46</f>
        <v>9</v>
      </c>
      <c r="I48">
        <v>9</v>
      </c>
      <c r="J48">
        <v>0</v>
      </c>
      <c r="K48">
        <v>2</v>
      </c>
      <c r="L48" s="6"/>
      <c r="M48">
        <v>1</v>
      </c>
      <c r="N48">
        <v>1</v>
      </c>
      <c r="O48">
        <v>1</v>
      </c>
      <c r="P48">
        <v>0</v>
      </c>
      <c r="Q48">
        <v>2</v>
      </c>
      <c r="R48">
        <v>0</v>
      </c>
      <c r="S48">
        <v>2</v>
      </c>
      <c r="T48">
        <v>0</v>
      </c>
      <c r="U48">
        <v>4</v>
      </c>
      <c r="V48" s="6"/>
      <c r="W48" s="6"/>
    </row>
    <row r="49" spans="2:23" x14ac:dyDescent="0.3">
      <c r="B49" t="str">
        <f t="shared" si="31"/>
        <v>Richie Payne</v>
      </c>
      <c r="C49">
        <v>1</v>
      </c>
      <c r="D49">
        <v>14</v>
      </c>
      <c r="E49">
        <v>9</v>
      </c>
      <c r="F49">
        <v>2</v>
      </c>
      <c r="G49">
        <v>2</v>
      </c>
      <c r="L49" s="6"/>
      <c r="V49" s="6"/>
      <c r="W49" s="6"/>
    </row>
    <row r="50" spans="2:23" x14ac:dyDescent="0.3">
      <c r="B50" t="str">
        <f t="shared" si="31"/>
        <v>Ed Cox</v>
      </c>
      <c r="C50">
        <v>1</v>
      </c>
      <c r="D50">
        <v>15</v>
      </c>
      <c r="E50">
        <v>0</v>
      </c>
      <c r="F50">
        <v>2</v>
      </c>
      <c r="G50">
        <v>2</v>
      </c>
      <c r="L50" s="6"/>
      <c r="V50" s="6"/>
      <c r="W50" s="6"/>
    </row>
    <row r="51" spans="2:23" x14ac:dyDescent="0.3">
      <c r="B51" t="str">
        <f t="shared" si="31"/>
        <v>Jack Sullivan</v>
      </c>
      <c r="C51">
        <v>1</v>
      </c>
      <c r="D51">
        <v>1</v>
      </c>
      <c r="E51">
        <v>3</v>
      </c>
      <c r="F51">
        <v>2</v>
      </c>
      <c r="L51" s="6"/>
      <c r="V51" s="6"/>
      <c r="W51" s="6"/>
    </row>
    <row r="52" spans="2:23" x14ac:dyDescent="0.3">
      <c r="C52">
        <f t="shared" ref="C52:K52" si="32">SUM(C37:C51)</f>
        <v>92</v>
      </c>
      <c r="D52">
        <f t="shared" si="32"/>
        <v>85</v>
      </c>
      <c r="E52">
        <f t="shared" si="32"/>
        <v>61</v>
      </c>
      <c r="F52">
        <f t="shared" si="32"/>
        <v>55</v>
      </c>
      <c r="G52">
        <f t="shared" si="32"/>
        <v>52</v>
      </c>
      <c r="H52">
        <f t="shared" si="32"/>
        <v>56</v>
      </c>
      <c r="I52">
        <f t="shared" si="32"/>
        <v>41</v>
      </c>
      <c r="J52">
        <f t="shared" si="32"/>
        <v>41</v>
      </c>
      <c r="K52">
        <f t="shared" si="32"/>
        <v>36</v>
      </c>
      <c r="L52" s="6"/>
      <c r="M52">
        <f t="shared" ref="M52:U52" si="33">SUM(M37:M51)</f>
        <v>46</v>
      </c>
      <c r="N52">
        <f t="shared" si="33"/>
        <v>46</v>
      </c>
      <c r="O52">
        <f t="shared" si="33"/>
        <v>49</v>
      </c>
      <c r="P52">
        <f t="shared" si="33"/>
        <v>20</v>
      </c>
      <c r="Q52">
        <f t="shared" si="33"/>
        <v>44</v>
      </c>
      <c r="R52">
        <f t="shared" si="33"/>
        <v>54</v>
      </c>
      <c r="S52">
        <f t="shared" si="33"/>
        <v>37</v>
      </c>
      <c r="T52">
        <f t="shared" si="33"/>
        <v>50</v>
      </c>
      <c r="U52">
        <f t="shared" si="33"/>
        <v>44</v>
      </c>
      <c r="V52" s="6"/>
      <c r="W52" s="6"/>
    </row>
    <row r="53" spans="2:23" x14ac:dyDescent="0.3">
      <c r="B53" s="1" t="s">
        <v>20</v>
      </c>
      <c r="L53" s="6"/>
      <c r="V53" s="6"/>
      <c r="W53" s="6"/>
    </row>
    <row r="54" spans="2:23" x14ac:dyDescent="0.3">
      <c r="B54" t="str">
        <f t="shared" ref="B54:B68" si="34">+B37</f>
        <v>Dave Kizer</v>
      </c>
      <c r="C54" s="5">
        <v>-8</v>
      </c>
      <c r="D54" s="5">
        <v>0</v>
      </c>
      <c r="E54" s="5">
        <v>-10</v>
      </c>
      <c r="F54" s="5">
        <v>-7</v>
      </c>
      <c r="G54" s="5">
        <v>0</v>
      </c>
      <c r="H54" s="5">
        <v>-3</v>
      </c>
      <c r="I54" s="5">
        <v>-3</v>
      </c>
      <c r="J54" s="5">
        <v>0</v>
      </c>
      <c r="K54" s="5">
        <v>-2</v>
      </c>
      <c r="L54" s="12"/>
      <c r="M54" s="5">
        <v>0</v>
      </c>
      <c r="N54" s="5">
        <v>-1</v>
      </c>
      <c r="O54" s="5">
        <v>-6</v>
      </c>
      <c r="P54" s="5">
        <v>0</v>
      </c>
      <c r="Q54" s="5">
        <v>0</v>
      </c>
      <c r="R54" s="5">
        <v>0</v>
      </c>
      <c r="S54" s="5">
        <v>-2</v>
      </c>
      <c r="T54" s="5">
        <v>0</v>
      </c>
      <c r="U54" s="5">
        <v>-8</v>
      </c>
      <c r="V54" s="12"/>
      <c r="W54" s="12"/>
    </row>
    <row r="55" spans="2:23" x14ac:dyDescent="0.3">
      <c r="B55" t="str">
        <f t="shared" si="34"/>
        <v>Bernie Sullivan</v>
      </c>
      <c r="C55" s="5">
        <v>-1</v>
      </c>
      <c r="D55" s="5">
        <v>-2</v>
      </c>
      <c r="E55" s="5">
        <v>-1</v>
      </c>
      <c r="F55" s="5">
        <v>-11</v>
      </c>
      <c r="G55" s="5">
        <v>0</v>
      </c>
      <c r="H55" s="5">
        <v>-10</v>
      </c>
      <c r="I55" s="5">
        <v>-3</v>
      </c>
      <c r="J55" s="5">
        <v>0</v>
      </c>
      <c r="K55" s="5">
        <v>-10</v>
      </c>
      <c r="L55" s="12"/>
      <c r="M55" s="5">
        <v>-1</v>
      </c>
      <c r="N55" s="5">
        <v>-6</v>
      </c>
      <c r="O55" s="5">
        <v>0</v>
      </c>
      <c r="P55" s="5">
        <v>0</v>
      </c>
      <c r="Q55" s="5">
        <v>0</v>
      </c>
      <c r="R55" s="5">
        <v>-9</v>
      </c>
      <c r="S55" s="5">
        <v>-10</v>
      </c>
      <c r="T55" s="5">
        <v>-3</v>
      </c>
      <c r="U55" s="5">
        <v>-1</v>
      </c>
      <c r="V55" s="12"/>
      <c r="W55" s="12"/>
    </row>
    <row r="56" spans="2:23" x14ac:dyDescent="0.3">
      <c r="B56" t="str">
        <f t="shared" si="34"/>
        <v>Joe McCardel</v>
      </c>
      <c r="C56" s="5">
        <v>-2</v>
      </c>
      <c r="D56" s="5">
        <v>-11</v>
      </c>
      <c r="E56" s="5">
        <v>-6</v>
      </c>
      <c r="F56" s="5">
        <v>-7</v>
      </c>
      <c r="G56" s="5">
        <v>-11</v>
      </c>
      <c r="H56" s="5">
        <f>+H54</f>
        <v>-3</v>
      </c>
      <c r="I56" s="5">
        <v>-3</v>
      </c>
      <c r="J56" s="5">
        <v>-6</v>
      </c>
      <c r="K56" s="5">
        <v>0</v>
      </c>
      <c r="L56" s="12"/>
      <c r="M56" s="5">
        <v>-6</v>
      </c>
      <c r="N56" s="5">
        <f>+N55</f>
        <v>-6</v>
      </c>
      <c r="O56" s="5">
        <v>-11</v>
      </c>
      <c r="P56" s="5">
        <v>0</v>
      </c>
      <c r="Q56" s="5">
        <v>-10</v>
      </c>
      <c r="R56" s="5">
        <v>-4</v>
      </c>
      <c r="S56" s="5">
        <v>-2</v>
      </c>
      <c r="T56" s="5">
        <v>-3</v>
      </c>
      <c r="U56" s="5">
        <v>-8</v>
      </c>
      <c r="V56" s="12"/>
      <c r="W56" s="12"/>
    </row>
    <row r="57" spans="2:23" x14ac:dyDescent="0.3">
      <c r="B57" t="str">
        <f t="shared" si="34"/>
        <v>Dave Brauer</v>
      </c>
      <c r="C57" s="5">
        <v>-2</v>
      </c>
      <c r="D57" s="5">
        <v>-2</v>
      </c>
      <c r="E57" s="5">
        <v>-6</v>
      </c>
      <c r="F57" s="5">
        <v>-7</v>
      </c>
      <c r="G57" s="5">
        <v>-3</v>
      </c>
      <c r="H57" s="5">
        <v>-7</v>
      </c>
      <c r="I57" s="5">
        <v>0</v>
      </c>
      <c r="J57" s="5">
        <v>-6</v>
      </c>
      <c r="K57" s="5">
        <v>-2</v>
      </c>
      <c r="L57" s="12"/>
      <c r="M57" s="5">
        <f>+M55</f>
        <v>-1</v>
      </c>
      <c r="N57" s="5">
        <f>+N54</f>
        <v>-1</v>
      </c>
      <c r="O57" s="5">
        <v>-2</v>
      </c>
      <c r="P57" s="5">
        <v>-10</v>
      </c>
      <c r="Q57" s="5">
        <v>-4</v>
      </c>
      <c r="R57" s="5">
        <v>-4</v>
      </c>
      <c r="S57" s="5">
        <v>0</v>
      </c>
      <c r="T57" s="5">
        <v>0</v>
      </c>
      <c r="U57" s="5">
        <v>-1</v>
      </c>
      <c r="V57" s="12"/>
      <c r="W57" s="12"/>
    </row>
    <row r="58" spans="2:23" x14ac:dyDescent="0.3">
      <c r="B58" t="str">
        <f t="shared" si="34"/>
        <v>John Sullivan</v>
      </c>
      <c r="C58" s="5">
        <v>-2</v>
      </c>
      <c r="D58" s="5">
        <v>0</v>
      </c>
      <c r="E58" s="5">
        <v>-1</v>
      </c>
      <c r="F58" s="5">
        <v>0</v>
      </c>
      <c r="G58" s="5">
        <v>0</v>
      </c>
      <c r="H58" s="5">
        <v>-11</v>
      </c>
      <c r="I58" s="5">
        <v>-3</v>
      </c>
      <c r="J58" s="5">
        <v>0</v>
      </c>
      <c r="K58" s="5">
        <v>0</v>
      </c>
      <c r="L58" s="12"/>
      <c r="M58" s="5">
        <f>+M56</f>
        <v>-6</v>
      </c>
      <c r="N58" s="5">
        <v>0</v>
      </c>
      <c r="O58" s="5">
        <v>-2</v>
      </c>
      <c r="P58" s="5">
        <v>0</v>
      </c>
      <c r="Q58" s="5">
        <v>-4</v>
      </c>
      <c r="R58" s="5">
        <v>-4</v>
      </c>
      <c r="S58" s="5">
        <v>-1</v>
      </c>
      <c r="T58" s="5">
        <v>-3</v>
      </c>
      <c r="U58" s="5">
        <v>-1</v>
      </c>
      <c r="V58" s="12"/>
      <c r="W58" s="12"/>
    </row>
    <row r="59" spans="2:23" x14ac:dyDescent="0.3">
      <c r="B59" t="str">
        <f t="shared" si="34"/>
        <v>Ralph</v>
      </c>
      <c r="C59" s="5">
        <v>-2</v>
      </c>
      <c r="D59" s="5">
        <v>-6</v>
      </c>
      <c r="E59" s="5">
        <v>-6</v>
      </c>
      <c r="F59" s="5">
        <v>0</v>
      </c>
      <c r="G59" s="5">
        <v>-3</v>
      </c>
      <c r="H59" s="5">
        <f>+H56</f>
        <v>-3</v>
      </c>
      <c r="I59" s="5">
        <v>-10</v>
      </c>
      <c r="J59" s="5">
        <v>0</v>
      </c>
      <c r="K59" s="5">
        <v>-2</v>
      </c>
      <c r="L59" s="12"/>
      <c r="M59" s="5">
        <f>+M55</f>
        <v>-1</v>
      </c>
      <c r="N59" s="5">
        <v>-11</v>
      </c>
      <c r="O59" s="5">
        <v>-6</v>
      </c>
      <c r="P59" s="5">
        <v>0</v>
      </c>
      <c r="Q59" s="5">
        <v>-4</v>
      </c>
      <c r="R59" s="5">
        <v>-10</v>
      </c>
      <c r="S59" s="5">
        <v>-10</v>
      </c>
      <c r="T59" s="5">
        <v>-3</v>
      </c>
      <c r="U59" s="5">
        <v>-10</v>
      </c>
      <c r="V59" s="12"/>
      <c r="W59" s="12"/>
    </row>
    <row r="60" spans="2:23" x14ac:dyDescent="0.3">
      <c r="B60" t="str">
        <f t="shared" si="34"/>
        <v>Leo</v>
      </c>
      <c r="C60" s="5">
        <v>0</v>
      </c>
      <c r="D60" s="5">
        <v>-8</v>
      </c>
      <c r="E60" s="5">
        <v>-1</v>
      </c>
      <c r="F60" s="5">
        <v>-2</v>
      </c>
      <c r="G60" s="5">
        <v>-10</v>
      </c>
      <c r="H60" s="5">
        <v>0</v>
      </c>
      <c r="I60" s="5">
        <f>+I59</f>
        <v>-10</v>
      </c>
      <c r="J60" s="5">
        <v>-6</v>
      </c>
      <c r="K60" s="5">
        <v>-2</v>
      </c>
      <c r="L60" s="12"/>
      <c r="M60" s="5">
        <f>+M56</f>
        <v>-6</v>
      </c>
      <c r="N60" s="5">
        <f>+N54</f>
        <v>-1</v>
      </c>
      <c r="O60" s="5">
        <v>-6</v>
      </c>
      <c r="P60" s="5">
        <v>0</v>
      </c>
      <c r="Q60" s="5">
        <v>-4</v>
      </c>
      <c r="R60" s="5">
        <v>0</v>
      </c>
      <c r="S60" s="5">
        <v>-2</v>
      </c>
      <c r="T60" s="5">
        <v>-8</v>
      </c>
      <c r="U60" s="5">
        <v>0</v>
      </c>
      <c r="V60" s="12"/>
      <c r="W60" s="12"/>
    </row>
    <row r="61" spans="2:23" x14ac:dyDescent="0.3">
      <c r="B61" t="str">
        <f t="shared" si="34"/>
        <v>Matt Lawrence</v>
      </c>
      <c r="C61" s="5">
        <v>-4</v>
      </c>
      <c r="D61" s="5">
        <v>-2</v>
      </c>
      <c r="E61" s="5">
        <v>-1</v>
      </c>
      <c r="F61" s="5">
        <v>-2</v>
      </c>
      <c r="G61" s="5">
        <v>-9</v>
      </c>
      <c r="H61" s="5">
        <f>+H57</f>
        <v>-7</v>
      </c>
      <c r="I61" s="5">
        <v>0</v>
      </c>
      <c r="J61" s="5">
        <v>-6</v>
      </c>
      <c r="K61" s="5">
        <v>-2</v>
      </c>
      <c r="L61" s="12"/>
      <c r="M61" s="5">
        <f>+M55</f>
        <v>-1</v>
      </c>
      <c r="N61" s="5">
        <f>+N60</f>
        <v>-1</v>
      </c>
      <c r="O61" s="5">
        <f>+O58</f>
        <v>-2</v>
      </c>
      <c r="P61" s="5">
        <v>0</v>
      </c>
      <c r="Q61" s="5">
        <v>-10</v>
      </c>
      <c r="R61" s="5">
        <v>0</v>
      </c>
      <c r="S61" s="5">
        <v>-2</v>
      </c>
      <c r="T61" s="5">
        <v>-3</v>
      </c>
      <c r="U61" s="5">
        <v>-1</v>
      </c>
      <c r="V61" s="12"/>
      <c r="W61" s="12"/>
    </row>
    <row r="62" spans="2:23" x14ac:dyDescent="0.3">
      <c r="B62" t="str">
        <f t="shared" si="34"/>
        <v>Jerry Flynn</v>
      </c>
      <c r="C62" s="5">
        <v>-2</v>
      </c>
      <c r="D62" s="5">
        <v>-6</v>
      </c>
      <c r="E62" s="5">
        <v>-10</v>
      </c>
      <c r="F62" s="5">
        <v>-2</v>
      </c>
      <c r="G62" s="5">
        <v>-3</v>
      </c>
      <c r="H62" s="5">
        <f>+H59</f>
        <v>-3</v>
      </c>
      <c r="I62" s="5">
        <v>-3</v>
      </c>
      <c r="J62" s="5">
        <v>0</v>
      </c>
      <c r="K62" s="5">
        <v>-10</v>
      </c>
      <c r="L62" s="12"/>
      <c r="M62" s="5">
        <v>-11</v>
      </c>
      <c r="N62" s="5">
        <f>+N55</f>
        <v>-6</v>
      </c>
      <c r="O62" s="5">
        <f>+O54</f>
        <v>-6</v>
      </c>
      <c r="P62" s="5">
        <v>0</v>
      </c>
      <c r="Q62" s="5">
        <v>-4</v>
      </c>
      <c r="R62" s="5">
        <v>0</v>
      </c>
      <c r="S62" s="5">
        <v>-2</v>
      </c>
      <c r="T62" s="5">
        <v>-8</v>
      </c>
      <c r="U62" s="5">
        <v>-1</v>
      </c>
      <c r="V62" s="12"/>
      <c r="W62" s="12"/>
    </row>
    <row r="63" spans="2:23" x14ac:dyDescent="0.3">
      <c r="B63" t="str">
        <f t="shared" si="34"/>
        <v>Mike Flynn</v>
      </c>
      <c r="C63" s="5">
        <v>-8</v>
      </c>
      <c r="D63" s="5">
        <v>-2</v>
      </c>
      <c r="E63" s="5">
        <v>-1</v>
      </c>
      <c r="F63" s="5">
        <v>-2</v>
      </c>
      <c r="G63" s="5">
        <v>-3</v>
      </c>
      <c r="H63" s="5">
        <v>-1</v>
      </c>
      <c r="I63" s="5">
        <v>-3</v>
      </c>
      <c r="J63" s="5">
        <v>-6</v>
      </c>
      <c r="K63" s="5">
        <v>-2</v>
      </c>
      <c r="L63" s="12"/>
      <c r="M63" s="5">
        <f>+M60</f>
        <v>-6</v>
      </c>
      <c r="N63" s="5">
        <f>+N62</f>
        <v>-6</v>
      </c>
      <c r="O63" s="5">
        <f>+O61</f>
        <v>-2</v>
      </c>
      <c r="P63" s="5">
        <v>0</v>
      </c>
      <c r="Q63" s="5">
        <v>0</v>
      </c>
      <c r="R63" s="5">
        <v>-4</v>
      </c>
      <c r="S63" s="5">
        <v>-2</v>
      </c>
      <c r="T63" s="5">
        <v>-8</v>
      </c>
      <c r="U63" s="5">
        <v>-1</v>
      </c>
      <c r="V63" s="12"/>
      <c r="W63" s="12"/>
    </row>
    <row r="64" spans="2:23" x14ac:dyDescent="0.3">
      <c r="B64" t="str">
        <f t="shared" si="34"/>
        <v>Kevin Fitzgerald</v>
      </c>
      <c r="C64" s="5">
        <v>-15</v>
      </c>
      <c r="D64" s="5">
        <v>-8</v>
      </c>
      <c r="E64" s="5">
        <v>-6</v>
      </c>
      <c r="F64" s="5">
        <v>-7</v>
      </c>
      <c r="G64" s="5">
        <v>-3</v>
      </c>
      <c r="H64" s="5">
        <f>+H57</f>
        <v>-7</v>
      </c>
      <c r="I64" s="5">
        <v>-3</v>
      </c>
      <c r="J64" s="5">
        <v>0</v>
      </c>
      <c r="K64" s="5">
        <v>-2</v>
      </c>
      <c r="L64" s="12"/>
      <c r="M64" s="5">
        <f>+M61</f>
        <v>-1</v>
      </c>
      <c r="N64" s="5">
        <f>+N61</f>
        <v>-1</v>
      </c>
      <c r="O64" s="5">
        <v>0</v>
      </c>
      <c r="P64" s="5">
        <v>0</v>
      </c>
      <c r="Q64" s="5">
        <v>0</v>
      </c>
      <c r="R64" s="5">
        <v>-10</v>
      </c>
      <c r="S64" s="5">
        <v>-2</v>
      </c>
      <c r="T64" s="5">
        <v>0</v>
      </c>
      <c r="U64" s="5">
        <v>-11</v>
      </c>
      <c r="V64" s="12"/>
      <c r="W64" s="12"/>
    </row>
    <row r="65" spans="2:28" x14ac:dyDescent="0.3">
      <c r="B65" t="str">
        <f t="shared" si="34"/>
        <v>Richard McGovern</v>
      </c>
      <c r="C65" s="5">
        <v>-8</v>
      </c>
      <c r="D65" s="5">
        <v>-8</v>
      </c>
      <c r="E65" s="5">
        <v>0</v>
      </c>
      <c r="F65" s="5">
        <v>-2</v>
      </c>
      <c r="G65" s="5">
        <v>-3</v>
      </c>
      <c r="H65" s="5">
        <f>+H63</f>
        <v>-1</v>
      </c>
      <c r="I65" s="5">
        <v>0</v>
      </c>
      <c r="J65" s="5">
        <v>-11</v>
      </c>
      <c r="K65" s="5">
        <v>-2</v>
      </c>
      <c r="L65" s="12"/>
      <c r="M65" s="5">
        <f>+M63</f>
        <v>-6</v>
      </c>
      <c r="N65" s="5">
        <f>+N63</f>
        <v>-6</v>
      </c>
      <c r="O65" s="5">
        <f>+O60</f>
        <v>-6</v>
      </c>
      <c r="P65" s="5">
        <v>-10</v>
      </c>
      <c r="Q65" s="5">
        <v>-4</v>
      </c>
      <c r="R65" s="5">
        <v>-9</v>
      </c>
      <c r="S65" s="5">
        <v>-2</v>
      </c>
      <c r="T65" s="5">
        <v>-11</v>
      </c>
      <c r="U65" s="5">
        <v>-1</v>
      </c>
      <c r="V65" s="12"/>
      <c r="W65" s="12"/>
    </row>
    <row r="66" spans="2:28" x14ac:dyDescent="0.3">
      <c r="B66" t="str">
        <f t="shared" si="34"/>
        <v>Richie Payne</v>
      </c>
      <c r="C66" s="5">
        <v>-12</v>
      </c>
      <c r="D66" s="5"/>
      <c r="E66" s="5"/>
      <c r="F66" s="5"/>
      <c r="G66" s="5"/>
      <c r="H66" s="5"/>
      <c r="I66" s="5"/>
      <c r="J66" s="5"/>
      <c r="K66" s="5"/>
      <c r="L66" s="12"/>
      <c r="M66" s="5"/>
      <c r="N66" s="5"/>
      <c r="O66" s="5"/>
      <c r="P66" s="5"/>
      <c r="Q66" s="5"/>
      <c r="R66" s="5"/>
      <c r="S66" s="5"/>
      <c r="T66" s="5"/>
      <c r="U66" s="5"/>
      <c r="V66" s="12"/>
      <c r="W66" s="12"/>
    </row>
    <row r="67" spans="2:28" x14ac:dyDescent="0.3">
      <c r="B67" t="str">
        <f t="shared" si="34"/>
        <v>Ed Cox</v>
      </c>
      <c r="C67" s="5">
        <v>-12</v>
      </c>
      <c r="D67" s="5"/>
      <c r="E67" s="5"/>
      <c r="F67" s="5"/>
      <c r="G67" s="5"/>
      <c r="H67" s="5"/>
      <c r="I67" s="5"/>
      <c r="J67" s="5"/>
      <c r="K67" s="5"/>
      <c r="L67" s="12"/>
      <c r="M67" s="5"/>
      <c r="N67" s="5"/>
      <c r="O67" s="5"/>
      <c r="P67" s="5"/>
      <c r="Q67" s="5"/>
      <c r="R67" s="5"/>
      <c r="S67" s="5"/>
      <c r="T67" s="5"/>
      <c r="U67" s="5"/>
      <c r="V67" s="12"/>
      <c r="W67" s="12"/>
    </row>
    <row r="68" spans="2:28" x14ac:dyDescent="0.3">
      <c r="B68" t="str">
        <f t="shared" si="34"/>
        <v>Jack Sullivan</v>
      </c>
      <c r="C68" s="5">
        <v>-12</v>
      </c>
      <c r="D68" s="5"/>
      <c r="E68" s="5"/>
      <c r="F68" s="5"/>
      <c r="G68" s="5"/>
      <c r="H68" s="5"/>
      <c r="I68" s="5"/>
      <c r="J68" s="5"/>
      <c r="K68" s="5"/>
      <c r="L68" s="12"/>
      <c r="M68" s="5"/>
      <c r="N68" s="5"/>
      <c r="O68" s="5"/>
      <c r="P68" s="5"/>
      <c r="Q68" s="5"/>
      <c r="R68" s="5"/>
      <c r="S68" s="5"/>
      <c r="T68" s="5"/>
      <c r="U68" s="5"/>
      <c r="V68" s="12"/>
      <c r="W68" s="12"/>
    </row>
    <row r="69" spans="2:28" x14ac:dyDescent="0.3">
      <c r="C69" s="5">
        <f t="shared" ref="C69:K69" si="35">SUM(C54:C68)</f>
        <v>-90</v>
      </c>
      <c r="D69" s="5">
        <f t="shared" si="35"/>
        <v>-55</v>
      </c>
      <c r="E69" s="5">
        <f t="shared" si="35"/>
        <v>-49</v>
      </c>
      <c r="F69" s="5">
        <f t="shared" si="35"/>
        <v>-49</v>
      </c>
      <c r="G69" s="5">
        <f t="shared" si="35"/>
        <v>-48</v>
      </c>
      <c r="H69" s="5">
        <f t="shared" si="35"/>
        <v>-56</v>
      </c>
      <c r="I69" s="5">
        <f t="shared" si="35"/>
        <v>-41</v>
      </c>
      <c r="J69" s="5">
        <f t="shared" si="35"/>
        <v>-41</v>
      </c>
      <c r="K69" s="5">
        <f t="shared" si="35"/>
        <v>-36</v>
      </c>
      <c r="L69" s="12"/>
      <c r="M69" s="5">
        <f t="shared" ref="M69:U69" si="36">SUM(M54:M68)</f>
        <v>-46</v>
      </c>
      <c r="N69" s="5">
        <f t="shared" si="36"/>
        <v>-46</v>
      </c>
      <c r="O69" s="5">
        <f t="shared" si="36"/>
        <v>-49</v>
      </c>
      <c r="P69" s="5">
        <f t="shared" si="36"/>
        <v>-20</v>
      </c>
      <c r="Q69" s="5">
        <f t="shared" si="36"/>
        <v>-44</v>
      </c>
      <c r="R69" s="5">
        <f t="shared" si="36"/>
        <v>-54</v>
      </c>
      <c r="S69" s="5">
        <f t="shared" si="36"/>
        <v>-37</v>
      </c>
      <c r="T69" s="5">
        <f t="shared" si="36"/>
        <v>-50</v>
      </c>
      <c r="U69" s="5">
        <f t="shared" si="36"/>
        <v>-44</v>
      </c>
      <c r="V69" s="12"/>
      <c r="W69" s="12"/>
    </row>
    <row r="70" spans="2:28" x14ac:dyDescent="0.3">
      <c r="B70" t="s">
        <v>16</v>
      </c>
      <c r="C70" s="5"/>
      <c r="D70" s="5"/>
      <c r="E70" s="5"/>
      <c r="F70" s="5"/>
      <c r="G70" s="5"/>
      <c r="H70" s="5"/>
      <c r="I70" s="5"/>
      <c r="J70" s="5"/>
      <c r="K70" s="5"/>
      <c r="L70" s="12"/>
      <c r="M70" s="5"/>
      <c r="N70" s="5"/>
      <c r="O70" s="5"/>
      <c r="P70" s="5"/>
      <c r="Q70" s="5"/>
      <c r="R70" s="5"/>
      <c r="S70" s="5"/>
      <c r="T70" s="5"/>
      <c r="U70" s="5"/>
      <c r="V70" s="12"/>
      <c r="W70" s="12"/>
      <c r="Y70" t="s">
        <v>17</v>
      </c>
      <c r="Z70" t="s">
        <v>18</v>
      </c>
      <c r="AA70" t="s">
        <v>1</v>
      </c>
    </row>
    <row r="71" spans="2:28" x14ac:dyDescent="0.3">
      <c r="B71" t="str">
        <f t="shared" ref="B71:B85" si="37">+B54</f>
        <v>Dave Kizer</v>
      </c>
      <c r="C71" s="5">
        <f t="shared" ref="C71:K71" si="38">+C37+C54</f>
        <v>-4</v>
      </c>
      <c r="D71" s="5">
        <f t="shared" si="38"/>
        <v>10</v>
      </c>
      <c r="E71" s="5">
        <f t="shared" si="38"/>
        <v>-10</v>
      </c>
      <c r="F71" s="5">
        <f t="shared" si="38"/>
        <v>-6</v>
      </c>
      <c r="G71" s="5">
        <f t="shared" si="38"/>
        <v>9</v>
      </c>
      <c r="H71" s="5">
        <f t="shared" si="38"/>
        <v>2</v>
      </c>
      <c r="I71" s="5">
        <f t="shared" si="38"/>
        <v>-1</v>
      </c>
      <c r="J71" s="5">
        <f t="shared" si="38"/>
        <v>6</v>
      </c>
      <c r="K71" s="5">
        <f t="shared" si="38"/>
        <v>0</v>
      </c>
      <c r="L71" s="12">
        <f t="shared" ref="L71:L82" si="39">SUM(C71:K71)</f>
        <v>6</v>
      </c>
      <c r="M71" s="5">
        <f t="shared" ref="M71:U71" si="40">+M37+M54</f>
        <v>11</v>
      </c>
      <c r="N71" s="5">
        <f t="shared" si="40"/>
        <v>5</v>
      </c>
      <c r="O71" s="5">
        <f t="shared" si="40"/>
        <v>-5</v>
      </c>
      <c r="P71" s="5">
        <f t="shared" si="40"/>
        <v>2</v>
      </c>
      <c r="Q71" s="5">
        <f t="shared" si="40"/>
        <v>8</v>
      </c>
      <c r="R71" s="5">
        <f t="shared" si="40"/>
        <v>8</v>
      </c>
      <c r="S71" s="5">
        <f t="shared" si="40"/>
        <v>0</v>
      </c>
      <c r="T71" s="5">
        <f t="shared" si="40"/>
        <v>9</v>
      </c>
      <c r="U71" s="5">
        <f t="shared" si="40"/>
        <v>-6</v>
      </c>
      <c r="V71" s="12">
        <f>SUM(M71:U71)</f>
        <v>32</v>
      </c>
      <c r="W71" s="12">
        <f>+V71+L71</f>
        <v>38</v>
      </c>
      <c r="X71" s="3">
        <f>+W71*0.3</f>
        <v>11.4</v>
      </c>
      <c r="Y71" s="4">
        <f>3.5-1.5</f>
        <v>2</v>
      </c>
      <c r="Z71" s="4">
        <v>5</v>
      </c>
      <c r="AA71" s="4">
        <f>10-1</f>
        <v>9</v>
      </c>
      <c r="AB71" s="10">
        <f>+X71+Y71+Z71+AA71</f>
        <v>27.4</v>
      </c>
    </row>
    <row r="72" spans="2:28" x14ac:dyDescent="0.3">
      <c r="B72" t="str">
        <f t="shared" si="37"/>
        <v>Bernie Sullivan</v>
      </c>
      <c r="C72" s="5">
        <f t="shared" ref="C72:K72" si="41">+C38+C55</f>
        <v>13</v>
      </c>
      <c r="D72" s="5">
        <f t="shared" si="41"/>
        <v>4</v>
      </c>
      <c r="E72" s="5">
        <f t="shared" si="41"/>
        <v>5</v>
      </c>
      <c r="F72" s="5">
        <f t="shared" si="41"/>
        <v>-11</v>
      </c>
      <c r="G72" s="5">
        <f t="shared" si="41"/>
        <v>9</v>
      </c>
      <c r="H72" s="5">
        <f t="shared" si="41"/>
        <v>-9</v>
      </c>
      <c r="I72" s="5">
        <f t="shared" si="41"/>
        <v>-1</v>
      </c>
      <c r="J72" s="5">
        <f t="shared" si="41"/>
        <v>6</v>
      </c>
      <c r="K72" s="5">
        <f t="shared" si="41"/>
        <v>-10</v>
      </c>
      <c r="L72" s="12">
        <f t="shared" si="39"/>
        <v>6</v>
      </c>
      <c r="M72" s="5">
        <f t="shared" ref="M72:U72" si="42">+M38+M55</f>
        <v>5</v>
      </c>
      <c r="N72" s="5">
        <f t="shared" si="42"/>
        <v>-5</v>
      </c>
      <c r="O72" s="5">
        <f t="shared" si="42"/>
        <v>10</v>
      </c>
      <c r="P72" s="5">
        <f t="shared" si="42"/>
        <v>2</v>
      </c>
      <c r="Q72" s="5">
        <f t="shared" si="42"/>
        <v>8</v>
      </c>
      <c r="R72" s="5">
        <f t="shared" si="42"/>
        <v>-7</v>
      </c>
      <c r="S72" s="5">
        <f t="shared" si="42"/>
        <v>-10</v>
      </c>
      <c r="T72" s="5">
        <f t="shared" si="42"/>
        <v>1</v>
      </c>
      <c r="U72" s="5">
        <f t="shared" si="42"/>
        <v>3</v>
      </c>
      <c r="V72" s="12">
        <f t="shared" ref="V72:V82" si="43">SUM(M72:U72)</f>
        <v>7</v>
      </c>
      <c r="W72" s="12">
        <f t="shared" ref="W72:W85" si="44">+V72+L72</f>
        <v>13</v>
      </c>
      <c r="X72" s="3">
        <f t="shared" ref="X72:X85" si="45">+W72*0.3</f>
        <v>3.9</v>
      </c>
      <c r="Y72" s="4">
        <f>1-4</f>
        <v>-3</v>
      </c>
      <c r="Z72" s="4">
        <f>3-2.5</f>
        <v>0.5</v>
      </c>
      <c r="AA72" s="4">
        <f>6-5</f>
        <v>1</v>
      </c>
      <c r="AB72" s="10">
        <f t="shared" ref="AB72:AB85" si="46">+X72+Y72+Z72+AA72</f>
        <v>2.4</v>
      </c>
    </row>
    <row r="73" spans="2:28" x14ac:dyDescent="0.3">
      <c r="B73" t="str">
        <f t="shared" si="37"/>
        <v>Joe McCardel</v>
      </c>
      <c r="C73" s="5">
        <f t="shared" ref="C73:K73" si="47">+C39+C56</f>
        <v>6</v>
      </c>
      <c r="D73" s="5">
        <f t="shared" si="47"/>
        <v>-11</v>
      </c>
      <c r="E73" s="5">
        <f t="shared" si="47"/>
        <v>-4</v>
      </c>
      <c r="F73" s="5">
        <f t="shared" si="47"/>
        <v>-6</v>
      </c>
      <c r="G73" s="5">
        <f t="shared" si="47"/>
        <v>-11</v>
      </c>
      <c r="H73" s="5">
        <f t="shared" si="47"/>
        <v>2</v>
      </c>
      <c r="I73" s="5">
        <f t="shared" si="47"/>
        <v>-1</v>
      </c>
      <c r="J73" s="5">
        <f t="shared" si="47"/>
        <v>-5</v>
      </c>
      <c r="K73" s="5">
        <f t="shared" si="47"/>
        <v>10</v>
      </c>
      <c r="L73" s="12">
        <f t="shared" si="39"/>
        <v>-20</v>
      </c>
      <c r="M73" s="5">
        <f t="shared" ref="M73:U73" si="48">+M39+M56</f>
        <v>-5</v>
      </c>
      <c r="N73" s="5">
        <f t="shared" si="48"/>
        <v>-5</v>
      </c>
      <c r="O73" s="5">
        <f t="shared" si="48"/>
        <v>-11</v>
      </c>
      <c r="P73" s="5">
        <f t="shared" si="48"/>
        <v>2</v>
      </c>
      <c r="Q73" s="5">
        <f t="shared" si="48"/>
        <v>-10</v>
      </c>
      <c r="R73" s="5">
        <f t="shared" si="48"/>
        <v>0</v>
      </c>
      <c r="S73" s="5">
        <f t="shared" si="48"/>
        <v>0</v>
      </c>
      <c r="T73" s="5">
        <f t="shared" si="48"/>
        <v>1</v>
      </c>
      <c r="U73" s="5">
        <f t="shared" si="48"/>
        <v>-6</v>
      </c>
      <c r="V73" s="12">
        <f t="shared" si="43"/>
        <v>-34</v>
      </c>
      <c r="W73" s="12">
        <f t="shared" si="44"/>
        <v>-54</v>
      </c>
      <c r="X73" s="3">
        <f t="shared" si="45"/>
        <v>-16.2</v>
      </c>
      <c r="Y73" s="4">
        <v>-5.5</v>
      </c>
      <c r="Z73" s="4">
        <f>1-4.5</f>
        <v>-3.5</v>
      </c>
      <c r="AA73" s="4">
        <v>-11</v>
      </c>
      <c r="AB73" s="10">
        <f t="shared" si="46"/>
        <v>-36.200000000000003</v>
      </c>
    </row>
    <row r="74" spans="2:28" x14ac:dyDescent="0.3">
      <c r="B74" t="str">
        <f t="shared" si="37"/>
        <v>Dave Brauer</v>
      </c>
      <c r="C74" s="5">
        <f t="shared" ref="C74:K74" si="49">+C40+C57</f>
        <v>6</v>
      </c>
      <c r="D74" s="5">
        <f t="shared" si="49"/>
        <v>4</v>
      </c>
      <c r="E74" s="5">
        <f t="shared" si="49"/>
        <v>-4</v>
      </c>
      <c r="F74" s="5">
        <f t="shared" si="49"/>
        <v>-6</v>
      </c>
      <c r="G74" s="5">
        <f t="shared" si="49"/>
        <v>0</v>
      </c>
      <c r="H74" s="5">
        <f t="shared" si="49"/>
        <v>-5</v>
      </c>
      <c r="I74" s="5">
        <f t="shared" si="49"/>
        <v>9</v>
      </c>
      <c r="J74" s="5">
        <f t="shared" si="49"/>
        <v>-5</v>
      </c>
      <c r="K74" s="5">
        <f t="shared" si="49"/>
        <v>0</v>
      </c>
      <c r="L74" s="12">
        <f t="shared" si="39"/>
        <v>-1</v>
      </c>
      <c r="M74" s="5">
        <f t="shared" ref="M74:U74" si="50">+M40+M57</f>
        <v>5</v>
      </c>
      <c r="N74" s="5">
        <f t="shared" si="50"/>
        <v>5</v>
      </c>
      <c r="O74" s="5">
        <f t="shared" si="50"/>
        <v>4</v>
      </c>
      <c r="P74" s="5">
        <f t="shared" si="50"/>
        <v>-10</v>
      </c>
      <c r="Q74" s="5">
        <f t="shared" si="50"/>
        <v>-2</v>
      </c>
      <c r="R74" s="5">
        <f t="shared" si="50"/>
        <v>0</v>
      </c>
      <c r="S74" s="5">
        <f t="shared" si="50"/>
        <v>11</v>
      </c>
      <c r="T74" s="5">
        <f t="shared" si="50"/>
        <v>9</v>
      </c>
      <c r="U74" s="5">
        <f t="shared" si="50"/>
        <v>3</v>
      </c>
      <c r="V74" s="12">
        <f t="shared" si="43"/>
        <v>25</v>
      </c>
      <c r="W74" s="12">
        <f t="shared" si="44"/>
        <v>24</v>
      </c>
      <c r="X74" s="3">
        <f t="shared" si="45"/>
        <v>7.1999999999999993</v>
      </c>
      <c r="Y74" s="4">
        <v>0</v>
      </c>
      <c r="Z74" s="4">
        <f>4.5-0.5</f>
        <v>4</v>
      </c>
      <c r="AA74" s="4">
        <f>7-3</f>
        <v>4</v>
      </c>
      <c r="AB74" s="10">
        <f>+X74+Y74+Z74+AA74</f>
        <v>15.2</v>
      </c>
    </row>
    <row r="75" spans="2:28" x14ac:dyDescent="0.3">
      <c r="B75" t="str">
        <f t="shared" si="37"/>
        <v>John Sullivan</v>
      </c>
      <c r="C75" s="5">
        <f t="shared" ref="C75:K75" si="51">+C41+C58</f>
        <v>6</v>
      </c>
      <c r="D75" s="5">
        <f t="shared" si="51"/>
        <v>10</v>
      </c>
      <c r="E75" s="5">
        <f t="shared" si="51"/>
        <v>5</v>
      </c>
      <c r="F75" s="5">
        <f t="shared" si="51"/>
        <v>10</v>
      </c>
      <c r="G75" s="5">
        <f t="shared" si="51"/>
        <v>9</v>
      </c>
      <c r="H75" s="5">
        <f t="shared" si="51"/>
        <v>-11</v>
      </c>
      <c r="I75" s="5">
        <f t="shared" si="51"/>
        <v>-1</v>
      </c>
      <c r="J75" s="5">
        <f t="shared" si="51"/>
        <v>6</v>
      </c>
      <c r="K75" s="5">
        <f t="shared" si="51"/>
        <v>10</v>
      </c>
      <c r="L75" s="12">
        <f t="shared" si="39"/>
        <v>44</v>
      </c>
      <c r="M75" s="5">
        <f t="shared" ref="M75:U75" si="52">+M41+M58</f>
        <v>-5</v>
      </c>
      <c r="N75" s="5">
        <f t="shared" si="52"/>
        <v>11</v>
      </c>
      <c r="O75" s="5">
        <f t="shared" si="52"/>
        <v>4</v>
      </c>
      <c r="P75" s="5">
        <f t="shared" si="52"/>
        <v>2</v>
      </c>
      <c r="Q75" s="5">
        <f t="shared" si="52"/>
        <v>-2</v>
      </c>
      <c r="R75" s="5">
        <f t="shared" si="52"/>
        <v>0</v>
      </c>
      <c r="S75" s="5">
        <f t="shared" si="52"/>
        <v>9</v>
      </c>
      <c r="T75" s="5">
        <f t="shared" si="52"/>
        <v>1</v>
      </c>
      <c r="U75" s="5">
        <f t="shared" si="52"/>
        <v>3</v>
      </c>
      <c r="V75" s="12">
        <f t="shared" si="43"/>
        <v>23</v>
      </c>
      <c r="W75" s="12">
        <f t="shared" si="44"/>
        <v>67</v>
      </c>
      <c r="X75" s="3">
        <f t="shared" si="45"/>
        <v>20.099999999999998</v>
      </c>
      <c r="Y75" s="4">
        <v>5</v>
      </c>
      <c r="Z75" s="4">
        <f>+Z74</f>
        <v>4</v>
      </c>
      <c r="AA75" s="4">
        <v>11</v>
      </c>
      <c r="AB75" s="10">
        <f t="shared" si="46"/>
        <v>40.099999999999994</v>
      </c>
    </row>
    <row r="76" spans="2:28" x14ac:dyDescent="0.3">
      <c r="B76" t="str">
        <f t="shared" si="37"/>
        <v>Ralph</v>
      </c>
      <c r="C76" s="5">
        <f t="shared" ref="C76:K76" si="53">+C42+C59</f>
        <v>6</v>
      </c>
      <c r="D76" s="5">
        <f t="shared" si="53"/>
        <v>-2</v>
      </c>
      <c r="E76" s="5">
        <f t="shared" si="53"/>
        <v>-4</v>
      </c>
      <c r="F76" s="5">
        <f t="shared" si="53"/>
        <v>10</v>
      </c>
      <c r="G76" s="5">
        <f t="shared" si="53"/>
        <v>0</v>
      </c>
      <c r="H76" s="5">
        <f t="shared" si="53"/>
        <v>2</v>
      </c>
      <c r="I76" s="5">
        <f t="shared" si="53"/>
        <v>-10</v>
      </c>
      <c r="J76" s="5">
        <f t="shared" si="53"/>
        <v>6</v>
      </c>
      <c r="K76" s="5">
        <f t="shared" si="53"/>
        <v>0</v>
      </c>
      <c r="L76" s="12">
        <f t="shared" si="39"/>
        <v>8</v>
      </c>
      <c r="M76" s="5">
        <f t="shared" ref="M76:U76" si="54">+M42+M59</f>
        <v>5</v>
      </c>
      <c r="N76" s="5">
        <f t="shared" si="54"/>
        <v>-11</v>
      </c>
      <c r="O76" s="5">
        <f t="shared" si="54"/>
        <v>-5</v>
      </c>
      <c r="P76" s="5">
        <f t="shared" si="54"/>
        <v>2</v>
      </c>
      <c r="Q76" s="5">
        <f t="shared" si="54"/>
        <v>-2</v>
      </c>
      <c r="R76" s="5">
        <f t="shared" si="54"/>
        <v>-10</v>
      </c>
      <c r="S76" s="5">
        <f t="shared" si="54"/>
        <v>-10</v>
      </c>
      <c r="T76" s="5">
        <f t="shared" si="54"/>
        <v>1</v>
      </c>
      <c r="U76" s="5">
        <f t="shared" si="54"/>
        <v>-9</v>
      </c>
      <c r="V76" s="12">
        <f t="shared" si="43"/>
        <v>-39</v>
      </c>
      <c r="W76" s="12">
        <f t="shared" si="44"/>
        <v>-31</v>
      </c>
      <c r="X76" s="3">
        <f t="shared" si="45"/>
        <v>-9.2999999999999989</v>
      </c>
      <c r="Y76" s="4">
        <v>0</v>
      </c>
      <c r="Z76" s="4">
        <v>-5</v>
      </c>
      <c r="AA76" s="4">
        <f>1-10</f>
        <v>-9</v>
      </c>
      <c r="AB76" s="10">
        <f t="shared" si="46"/>
        <v>-23.299999999999997</v>
      </c>
    </row>
    <row r="77" spans="2:28" x14ac:dyDescent="0.3">
      <c r="B77" t="str">
        <f t="shared" si="37"/>
        <v>Leo</v>
      </c>
      <c r="C77" s="5">
        <f t="shared" ref="C77:K77" si="55">+C43+C60</f>
        <v>15</v>
      </c>
      <c r="D77" s="5">
        <f t="shared" si="55"/>
        <v>-7</v>
      </c>
      <c r="E77" s="5">
        <f t="shared" si="55"/>
        <v>5</v>
      </c>
      <c r="F77" s="5">
        <f t="shared" si="55"/>
        <v>3</v>
      </c>
      <c r="G77" s="5">
        <f t="shared" si="55"/>
        <v>-9</v>
      </c>
      <c r="H77" s="5">
        <f t="shared" si="55"/>
        <v>11</v>
      </c>
      <c r="I77" s="5">
        <f t="shared" si="55"/>
        <v>-10</v>
      </c>
      <c r="J77" s="5">
        <f t="shared" si="55"/>
        <v>-5</v>
      </c>
      <c r="K77" s="5">
        <f t="shared" si="55"/>
        <v>0</v>
      </c>
      <c r="L77" s="12">
        <f t="shared" si="39"/>
        <v>3</v>
      </c>
      <c r="M77" s="5">
        <f t="shared" ref="M77:U77" si="56">+M43+M60</f>
        <v>-5</v>
      </c>
      <c r="N77" s="5">
        <f t="shared" si="56"/>
        <v>5</v>
      </c>
      <c r="O77" s="5">
        <f t="shared" si="56"/>
        <v>-5</v>
      </c>
      <c r="P77" s="5">
        <f t="shared" si="56"/>
        <v>2</v>
      </c>
      <c r="Q77" s="5">
        <f t="shared" si="56"/>
        <v>-2</v>
      </c>
      <c r="R77" s="5">
        <f t="shared" si="56"/>
        <v>8</v>
      </c>
      <c r="S77" s="5">
        <f t="shared" si="56"/>
        <v>0</v>
      </c>
      <c r="T77" s="5">
        <f t="shared" si="56"/>
        <v>-7</v>
      </c>
      <c r="U77" s="5">
        <f t="shared" si="56"/>
        <v>11</v>
      </c>
      <c r="V77" s="12">
        <f t="shared" si="43"/>
        <v>7</v>
      </c>
      <c r="W77" s="12">
        <f t="shared" si="44"/>
        <v>10</v>
      </c>
      <c r="X77" s="3">
        <f t="shared" si="45"/>
        <v>3</v>
      </c>
      <c r="Y77" s="4">
        <f>0.5-5</f>
        <v>-4.5</v>
      </c>
      <c r="Z77" s="4">
        <f>3.5-1.5</f>
        <v>2</v>
      </c>
      <c r="AA77" s="4">
        <f>4-6</f>
        <v>-2</v>
      </c>
      <c r="AB77" s="10">
        <f t="shared" si="46"/>
        <v>-1.5</v>
      </c>
    </row>
    <row r="78" spans="2:28" x14ac:dyDescent="0.3">
      <c r="B78" t="str">
        <f t="shared" si="37"/>
        <v>Matt Lawrence</v>
      </c>
      <c r="C78" s="5">
        <f t="shared" ref="C78:K78" si="57">+C44+C61</f>
        <v>4</v>
      </c>
      <c r="D78" s="5">
        <f t="shared" si="57"/>
        <v>4</v>
      </c>
      <c r="E78" s="5">
        <f t="shared" si="57"/>
        <v>5</v>
      </c>
      <c r="F78" s="5">
        <f t="shared" si="57"/>
        <v>3</v>
      </c>
      <c r="G78" s="5">
        <f t="shared" si="57"/>
        <v>-7</v>
      </c>
      <c r="H78" s="5">
        <f t="shared" si="57"/>
        <v>-5</v>
      </c>
      <c r="I78" s="5">
        <f t="shared" si="57"/>
        <v>9</v>
      </c>
      <c r="J78" s="5">
        <f t="shared" si="57"/>
        <v>-5</v>
      </c>
      <c r="K78" s="5">
        <f t="shared" si="57"/>
        <v>0</v>
      </c>
      <c r="L78" s="12">
        <f t="shared" si="39"/>
        <v>8</v>
      </c>
      <c r="M78" s="5">
        <f t="shared" ref="M78:U78" si="58">+M44+M61</f>
        <v>5</v>
      </c>
      <c r="N78" s="5">
        <f t="shared" si="58"/>
        <v>5</v>
      </c>
      <c r="O78" s="5">
        <f t="shared" si="58"/>
        <v>4</v>
      </c>
      <c r="P78" s="5">
        <f t="shared" si="58"/>
        <v>2</v>
      </c>
      <c r="Q78" s="5">
        <f t="shared" si="58"/>
        <v>-10</v>
      </c>
      <c r="R78" s="5">
        <f t="shared" si="58"/>
        <v>8</v>
      </c>
      <c r="S78" s="5">
        <f t="shared" si="58"/>
        <v>0</v>
      </c>
      <c r="T78" s="5">
        <f t="shared" si="58"/>
        <v>1</v>
      </c>
      <c r="U78" s="5">
        <f t="shared" si="58"/>
        <v>3</v>
      </c>
      <c r="V78" s="12">
        <f t="shared" si="43"/>
        <v>18</v>
      </c>
      <c r="W78" s="12">
        <f t="shared" si="44"/>
        <v>26</v>
      </c>
      <c r="X78" s="3">
        <f t="shared" si="45"/>
        <v>7.8</v>
      </c>
      <c r="Y78" s="4">
        <f>3.5-1.5</f>
        <v>2</v>
      </c>
      <c r="Z78" s="4">
        <f>3.5-1.5</f>
        <v>2</v>
      </c>
      <c r="AA78" s="4">
        <f>+AA74</f>
        <v>4</v>
      </c>
      <c r="AB78" s="10">
        <f t="shared" si="46"/>
        <v>15.8</v>
      </c>
    </row>
    <row r="79" spans="2:28" x14ac:dyDescent="0.3">
      <c r="B79" t="str">
        <f t="shared" si="37"/>
        <v>Jerry Flynn</v>
      </c>
      <c r="C79" s="5">
        <f t="shared" ref="C79:K79" si="59">+C45+C62</f>
        <v>6</v>
      </c>
      <c r="D79" s="5">
        <f t="shared" si="59"/>
        <v>-2</v>
      </c>
      <c r="E79" s="5">
        <f t="shared" si="59"/>
        <v>-10</v>
      </c>
      <c r="F79" s="5">
        <f t="shared" si="59"/>
        <v>3</v>
      </c>
      <c r="G79" s="5">
        <f t="shared" si="59"/>
        <v>0</v>
      </c>
      <c r="H79" s="5">
        <f t="shared" si="59"/>
        <v>2</v>
      </c>
      <c r="I79" s="5">
        <f t="shared" si="59"/>
        <v>-1</v>
      </c>
      <c r="J79" s="5">
        <f t="shared" si="59"/>
        <v>6</v>
      </c>
      <c r="K79" s="5">
        <f t="shared" si="59"/>
        <v>-10</v>
      </c>
      <c r="L79" s="12">
        <f t="shared" si="39"/>
        <v>-6</v>
      </c>
      <c r="M79" s="5">
        <f t="shared" ref="M79:U79" si="60">+M45+M62</f>
        <v>-11</v>
      </c>
      <c r="N79" s="5">
        <f t="shared" si="60"/>
        <v>-5</v>
      </c>
      <c r="O79" s="5">
        <f t="shared" si="60"/>
        <v>-5</v>
      </c>
      <c r="P79" s="5">
        <f t="shared" si="60"/>
        <v>2</v>
      </c>
      <c r="Q79" s="5">
        <f t="shared" si="60"/>
        <v>-2</v>
      </c>
      <c r="R79" s="5">
        <f t="shared" si="60"/>
        <v>8</v>
      </c>
      <c r="S79" s="5">
        <f t="shared" si="60"/>
        <v>0</v>
      </c>
      <c r="T79" s="5">
        <f t="shared" si="60"/>
        <v>-7</v>
      </c>
      <c r="U79" s="5">
        <f t="shared" si="60"/>
        <v>3</v>
      </c>
      <c r="V79" s="12">
        <f t="shared" si="43"/>
        <v>-17</v>
      </c>
      <c r="W79" s="12">
        <f t="shared" si="44"/>
        <v>-23</v>
      </c>
      <c r="X79" s="3">
        <f t="shared" si="45"/>
        <v>-6.8999999999999995</v>
      </c>
      <c r="Y79" s="4">
        <f>2-3.5</f>
        <v>-1.5</v>
      </c>
      <c r="Z79" s="4">
        <f>1.5-4</f>
        <v>-2.5</v>
      </c>
      <c r="AA79" s="4">
        <f>3-8</f>
        <v>-5</v>
      </c>
      <c r="AB79" s="10">
        <f t="shared" si="46"/>
        <v>-15.899999999999999</v>
      </c>
    </row>
    <row r="80" spans="2:28" x14ac:dyDescent="0.3">
      <c r="B80" t="str">
        <f t="shared" si="37"/>
        <v>Mike Flynn</v>
      </c>
      <c r="C80" s="5">
        <f t="shared" ref="C80:K80" si="61">+C46+C63</f>
        <v>-4</v>
      </c>
      <c r="D80" s="5">
        <f t="shared" si="61"/>
        <v>4</v>
      </c>
      <c r="E80" s="5">
        <f t="shared" si="61"/>
        <v>5</v>
      </c>
      <c r="F80" s="5">
        <f t="shared" si="61"/>
        <v>3</v>
      </c>
      <c r="G80" s="5">
        <f t="shared" si="61"/>
        <v>0</v>
      </c>
      <c r="H80" s="5">
        <f t="shared" si="61"/>
        <v>8</v>
      </c>
      <c r="I80" s="5">
        <f t="shared" si="61"/>
        <v>-1</v>
      </c>
      <c r="J80" s="5">
        <f t="shared" si="61"/>
        <v>-5</v>
      </c>
      <c r="K80" s="5">
        <f t="shared" si="61"/>
        <v>0</v>
      </c>
      <c r="L80" s="12">
        <f t="shared" si="39"/>
        <v>10</v>
      </c>
      <c r="M80" s="5">
        <f t="shared" ref="M80:U80" si="62">+M46+M63</f>
        <v>-5</v>
      </c>
      <c r="N80" s="5">
        <f t="shared" si="62"/>
        <v>-5</v>
      </c>
      <c r="O80" s="5">
        <f t="shared" si="62"/>
        <v>4</v>
      </c>
      <c r="P80" s="5">
        <f t="shared" si="62"/>
        <v>2</v>
      </c>
      <c r="Q80" s="5">
        <f t="shared" si="62"/>
        <v>8</v>
      </c>
      <c r="R80" s="5">
        <f t="shared" si="62"/>
        <v>4</v>
      </c>
      <c r="S80" s="5">
        <f t="shared" si="62"/>
        <v>0</v>
      </c>
      <c r="T80" s="5">
        <f t="shared" si="62"/>
        <v>-7</v>
      </c>
      <c r="U80" s="5">
        <f t="shared" si="62"/>
        <v>3</v>
      </c>
      <c r="V80" s="12">
        <f t="shared" si="43"/>
        <v>4</v>
      </c>
      <c r="W80" s="12">
        <f t="shared" si="44"/>
        <v>14</v>
      </c>
      <c r="X80" s="3">
        <f t="shared" si="45"/>
        <v>4.2</v>
      </c>
      <c r="Y80" s="4">
        <v>5</v>
      </c>
      <c r="Z80" s="4">
        <f>2-3</f>
        <v>-1</v>
      </c>
      <c r="AA80" s="4">
        <f>9-2</f>
        <v>7</v>
      </c>
      <c r="AB80" s="10">
        <f t="shared" si="46"/>
        <v>15.2</v>
      </c>
    </row>
    <row r="81" spans="2:28" x14ac:dyDescent="0.3">
      <c r="B81" t="str">
        <f t="shared" si="37"/>
        <v>Kevin Fitzgerald</v>
      </c>
      <c r="C81" s="5">
        <f t="shared" ref="C81:K81" si="63">+C47+C64</f>
        <v>-15</v>
      </c>
      <c r="D81" s="5">
        <f t="shared" si="63"/>
        <v>-7</v>
      </c>
      <c r="E81" s="5">
        <f t="shared" si="63"/>
        <v>-4</v>
      </c>
      <c r="F81" s="5">
        <f t="shared" si="63"/>
        <v>-6</v>
      </c>
      <c r="G81" s="5">
        <f t="shared" si="63"/>
        <v>0</v>
      </c>
      <c r="H81" s="5">
        <f t="shared" si="63"/>
        <v>-5</v>
      </c>
      <c r="I81" s="5">
        <f t="shared" si="63"/>
        <v>-1</v>
      </c>
      <c r="J81" s="5">
        <f t="shared" si="63"/>
        <v>6</v>
      </c>
      <c r="K81" s="5">
        <f t="shared" si="63"/>
        <v>0</v>
      </c>
      <c r="L81" s="12">
        <f t="shared" si="39"/>
        <v>-32</v>
      </c>
      <c r="M81" s="5">
        <f t="shared" ref="M81:U81" si="64">+M47+M64</f>
        <v>5</v>
      </c>
      <c r="N81" s="5">
        <f t="shared" si="64"/>
        <v>5</v>
      </c>
      <c r="O81" s="5">
        <f t="shared" si="64"/>
        <v>10</v>
      </c>
      <c r="P81" s="5">
        <f t="shared" si="64"/>
        <v>2</v>
      </c>
      <c r="Q81" s="5">
        <f t="shared" si="64"/>
        <v>8</v>
      </c>
      <c r="R81" s="5">
        <f t="shared" si="64"/>
        <v>-10</v>
      </c>
      <c r="S81" s="5">
        <f t="shared" si="64"/>
        <v>0</v>
      </c>
      <c r="T81" s="5">
        <f t="shared" si="64"/>
        <v>9</v>
      </c>
      <c r="U81" s="5">
        <f t="shared" si="64"/>
        <v>-11</v>
      </c>
      <c r="V81" s="12">
        <f t="shared" si="43"/>
        <v>18</v>
      </c>
      <c r="W81" s="12">
        <f t="shared" si="44"/>
        <v>-14</v>
      </c>
      <c r="X81" s="3">
        <f t="shared" si="45"/>
        <v>-4.2</v>
      </c>
      <c r="Y81" s="4">
        <f>1-4</f>
        <v>-3</v>
      </c>
      <c r="Z81" s="4">
        <f>+Z80</f>
        <v>-1</v>
      </c>
      <c r="AA81" s="4">
        <f>+AA77</f>
        <v>-2</v>
      </c>
      <c r="AB81" s="10">
        <f t="shared" si="46"/>
        <v>-10.199999999999999</v>
      </c>
    </row>
    <row r="82" spans="2:28" x14ac:dyDescent="0.3">
      <c r="B82" t="str">
        <f t="shared" si="37"/>
        <v>Richard McGovern</v>
      </c>
      <c r="C82" s="5">
        <f t="shared" ref="C82:K82" si="65">+C48+C65</f>
        <v>-4</v>
      </c>
      <c r="D82" s="5">
        <f t="shared" si="65"/>
        <v>-7</v>
      </c>
      <c r="E82" s="5">
        <f t="shared" si="65"/>
        <v>11</v>
      </c>
      <c r="F82" s="5">
        <f t="shared" si="65"/>
        <v>3</v>
      </c>
      <c r="G82" s="5">
        <f t="shared" si="65"/>
        <v>0</v>
      </c>
      <c r="H82" s="5">
        <f t="shared" si="65"/>
        <v>8</v>
      </c>
      <c r="I82" s="5">
        <f t="shared" si="65"/>
        <v>9</v>
      </c>
      <c r="J82" s="5">
        <f t="shared" si="65"/>
        <v>-11</v>
      </c>
      <c r="K82" s="5">
        <f t="shared" si="65"/>
        <v>0</v>
      </c>
      <c r="L82" s="12">
        <f t="shared" si="39"/>
        <v>9</v>
      </c>
      <c r="M82" s="5">
        <f t="shared" ref="M82:U82" si="66">+M48+M65</f>
        <v>-5</v>
      </c>
      <c r="N82" s="5">
        <f t="shared" si="66"/>
        <v>-5</v>
      </c>
      <c r="O82" s="5">
        <f t="shared" si="66"/>
        <v>-5</v>
      </c>
      <c r="P82" s="5">
        <f t="shared" si="66"/>
        <v>-10</v>
      </c>
      <c r="Q82" s="5">
        <f t="shared" si="66"/>
        <v>-2</v>
      </c>
      <c r="R82" s="5">
        <f t="shared" si="66"/>
        <v>-9</v>
      </c>
      <c r="S82" s="5">
        <f t="shared" si="66"/>
        <v>0</v>
      </c>
      <c r="T82" s="5">
        <f t="shared" si="66"/>
        <v>-11</v>
      </c>
      <c r="U82" s="5">
        <f t="shared" si="66"/>
        <v>3</v>
      </c>
      <c r="V82" s="12">
        <f t="shared" si="43"/>
        <v>-44</v>
      </c>
      <c r="W82" s="12">
        <f t="shared" si="44"/>
        <v>-35</v>
      </c>
      <c r="X82" s="3">
        <f t="shared" si="45"/>
        <v>-10.5</v>
      </c>
      <c r="Y82" s="4">
        <f>-1+4.5</f>
        <v>3.5</v>
      </c>
      <c r="Z82" s="4">
        <f>0.5-5</f>
        <v>-4.5</v>
      </c>
      <c r="AA82" s="4">
        <f>2-9</f>
        <v>-7</v>
      </c>
      <c r="AB82" s="10">
        <f t="shared" si="46"/>
        <v>-18.5</v>
      </c>
    </row>
    <row r="83" spans="2:28" x14ac:dyDescent="0.3">
      <c r="B83" t="str">
        <f t="shared" si="37"/>
        <v>Richie Payne</v>
      </c>
      <c r="C83" s="5">
        <f t="shared" ref="C83:K83" si="67">+C49+C66</f>
        <v>-11</v>
      </c>
      <c r="D83" s="5">
        <f t="shared" si="67"/>
        <v>14</v>
      </c>
      <c r="E83" s="5">
        <f t="shared" si="67"/>
        <v>9</v>
      </c>
      <c r="F83" s="5">
        <f t="shared" si="67"/>
        <v>2</v>
      </c>
      <c r="G83" s="5">
        <f t="shared" si="67"/>
        <v>2</v>
      </c>
      <c r="H83" s="5">
        <f t="shared" si="67"/>
        <v>0</v>
      </c>
      <c r="I83" s="5">
        <f t="shared" si="67"/>
        <v>0</v>
      </c>
      <c r="J83" s="5">
        <f t="shared" si="67"/>
        <v>0</v>
      </c>
      <c r="K83" s="5">
        <f t="shared" si="67"/>
        <v>0</v>
      </c>
      <c r="L83" s="12">
        <f>SUM(C83:K83)</f>
        <v>16</v>
      </c>
      <c r="M83" s="5">
        <f t="shared" ref="M83:U83" si="68">+M49+M66</f>
        <v>0</v>
      </c>
      <c r="N83" s="5">
        <f t="shared" si="68"/>
        <v>0</v>
      </c>
      <c r="O83" s="5">
        <f t="shared" si="68"/>
        <v>0</v>
      </c>
      <c r="P83" s="5">
        <f t="shared" si="68"/>
        <v>0</v>
      </c>
      <c r="Q83" s="5">
        <f t="shared" si="68"/>
        <v>0</v>
      </c>
      <c r="R83" s="5">
        <f t="shared" si="68"/>
        <v>0</v>
      </c>
      <c r="S83" s="5">
        <f t="shared" si="68"/>
        <v>0</v>
      </c>
      <c r="T83" s="5">
        <f t="shared" si="68"/>
        <v>0</v>
      </c>
      <c r="U83" s="5">
        <f t="shared" si="68"/>
        <v>0</v>
      </c>
      <c r="V83" s="12">
        <f>SUM(M83:U83)</f>
        <v>0</v>
      </c>
      <c r="W83" s="12">
        <f t="shared" si="44"/>
        <v>16</v>
      </c>
      <c r="X83" s="3">
        <f t="shared" si="45"/>
        <v>4.8</v>
      </c>
      <c r="Y83" s="4"/>
      <c r="Z83" s="4"/>
      <c r="AA83" s="4"/>
      <c r="AB83" s="10">
        <f t="shared" si="46"/>
        <v>4.8</v>
      </c>
    </row>
    <row r="84" spans="2:28" x14ac:dyDescent="0.3">
      <c r="B84" t="str">
        <f t="shared" si="37"/>
        <v>Ed Cox</v>
      </c>
      <c r="C84" s="5">
        <f t="shared" ref="C84:K84" si="69">+C50+C67</f>
        <v>-11</v>
      </c>
      <c r="D84" s="5">
        <f t="shared" si="69"/>
        <v>15</v>
      </c>
      <c r="E84" s="5">
        <f t="shared" si="69"/>
        <v>0</v>
      </c>
      <c r="F84" s="5">
        <f t="shared" si="69"/>
        <v>2</v>
      </c>
      <c r="G84" s="5">
        <f t="shared" si="69"/>
        <v>2</v>
      </c>
      <c r="H84" s="5">
        <f t="shared" si="69"/>
        <v>0</v>
      </c>
      <c r="I84" s="5">
        <f t="shared" si="69"/>
        <v>0</v>
      </c>
      <c r="J84" s="5">
        <f t="shared" si="69"/>
        <v>0</v>
      </c>
      <c r="K84" s="5">
        <f t="shared" si="69"/>
        <v>0</v>
      </c>
      <c r="L84" s="12">
        <f>SUM(C84:K84)</f>
        <v>8</v>
      </c>
      <c r="M84" s="5">
        <f t="shared" ref="M84:U84" si="70">+M50+M67</f>
        <v>0</v>
      </c>
      <c r="N84" s="5">
        <f t="shared" si="70"/>
        <v>0</v>
      </c>
      <c r="O84" s="5">
        <f t="shared" si="70"/>
        <v>0</v>
      </c>
      <c r="P84" s="5">
        <f t="shared" si="70"/>
        <v>0</v>
      </c>
      <c r="Q84" s="5">
        <f t="shared" si="70"/>
        <v>0</v>
      </c>
      <c r="R84" s="5">
        <f t="shared" si="70"/>
        <v>0</v>
      </c>
      <c r="S84" s="5">
        <f t="shared" si="70"/>
        <v>0</v>
      </c>
      <c r="T84" s="5">
        <f t="shared" si="70"/>
        <v>0</v>
      </c>
      <c r="U84" s="5">
        <f t="shared" si="70"/>
        <v>0</v>
      </c>
      <c r="V84" s="12">
        <f>SUM(M84:U84)</f>
        <v>0</v>
      </c>
      <c r="W84" s="12">
        <f t="shared" si="44"/>
        <v>8</v>
      </c>
      <c r="X84" s="3">
        <f t="shared" si="45"/>
        <v>2.4</v>
      </c>
      <c r="Y84" s="4"/>
      <c r="Z84" s="4"/>
      <c r="AA84" s="4"/>
      <c r="AB84" s="10">
        <f t="shared" si="46"/>
        <v>2.4</v>
      </c>
    </row>
    <row r="85" spans="2:28" x14ac:dyDescent="0.3">
      <c r="B85" t="str">
        <f t="shared" si="37"/>
        <v>Jack Sullivan</v>
      </c>
      <c r="C85" s="5">
        <f t="shared" ref="C85:K85" si="71">+C51+C68</f>
        <v>-11</v>
      </c>
      <c r="D85" s="5">
        <f t="shared" si="71"/>
        <v>1</v>
      </c>
      <c r="E85" s="5">
        <f t="shared" si="71"/>
        <v>3</v>
      </c>
      <c r="F85" s="5">
        <f t="shared" si="71"/>
        <v>2</v>
      </c>
      <c r="G85" s="5">
        <f t="shared" si="71"/>
        <v>0</v>
      </c>
      <c r="H85" s="5">
        <f t="shared" si="71"/>
        <v>0</v>
      </c>
      <c r="I85" s="5">
        <f t="shared" si="71"/>
        <v>0</v>
      </c>
      <c r="J85" s="5">
        <f t="shared" si="71"/>
        <v>0</v>
      </c>
      <c r="K85" s="5">
        <f t="shared" si="71"/>
        <v>0</v>
      </c>
      <c r="L85" s="12">
        <f>SUM(C85:K85)</f>
        <v>-5</v>
      </c>
      <c r="M85" s="5">
        <f t="shared" ref="M85:U85" si="72">+M51+M68</f>
        <v>0</v>
      </c>
      <c r="N85" s="5">
        <f t="shared" si="72"/>
        <v>0</v>
      </c>
      <c r="O85" s="5">
        <f t="shared" si="72"/>
        <v>0</v>
      </c>
      <c r="P85" s="5">
        <f t="shared" si="72"/>
        <v>0</v>
      </c>
      <c r="Q85" s="5">
        <f t="shared" si="72"/>
        <v>0</v>
      </c>
      <c r="R85" s="5">
        <f t="shared" si="72"/>
        <v>0</v>
      </c>
      <c r="S85" s="5">
        <f t="shared" si="72"/>
        <v>0</v>
      </c>
      <c r="T85" s="5">
        <f t="shared" si="72"/>
        <v>0</v>
      </c>
      <c r="U85" s="5">
        <f t="shared" si="72"/>
        <v>0</v>
      </c>
      <c r="V85" s="12">
        <f>SUM(M85:U85)</f>
        <v>0</v>
      </c>
      <c r="W85" s="12">
        <f t="shared" si="44"/>
        <v>-5</v>
      </c>
      <c r="X85" s="3">
        <f t="shared" si="45"/>
        <v>-1.5</v>
      </c>
      <c r="Y85" s="4"/>
      <c r="Z85" s="4"/>
      <c r="AA85" s="4"/>
      <c r="AB85" s="10">
        <f t="shared" si="46"/>
        <v>-1.5</v>
      </c>
    </row>
    <row r="86" spans="2:28" x14ac:dyDescent="0.3">
      <c r="C86" s="9">
        <f t="shared" ref="C86:AB86" si="73">SUM(C71:C85)</f>
        <v>2</v>
      </c>
      <c r="D86" s="9">
        <f t="shared" si="73"/>
        <v>30</v>
      </c>
      <c r="E86" s="9">
        <f t="shared" si="73"/>
        <v>12</v>
      </c>
      <c r="F86" s="9">
        <f t="shared" si="73"/>
        <v>6</v>
      </c>
      <c r="G86" s="9">
        <f t="shared" si="73"/>
        <v>4</v>
      </c>
      <c r="H86" s="9">
        <f t="shared" si="73"/>
        <v>0</v>
      </c>
      <c r="I86" s="9">
        <f t="shared" si="73"/>
        <v>0</v>
      </c>
      <c r="J86" s="9">
        <f t="shared" si="73"/>
        <v>0</v>
      </c>
      <c r="K86" s="9">
        <f t="shared" si="73"/>
        <v>0</v>
      </c>
      <c r="L86" s="12">
        <f t="shared" si="73"/>
        <v>54</v>
      </c>
      <c r="M86" s="9">
        <f t="shared" si="73"/>
        <v>0</v>
      </c>
      <c r="N86" s="9">
        <f t="shared" si="73"/>
        <v>0</v>
      </c>
      <c r="O86" s="9">
        <f t="shared" si="73"/>
        <v>0</v>
      </c>
      <c r="P86" s="9">
        <f t="shared" si="73"/>
        <v>0</v>
      </c>
      <c r="Q86" s="9">
        <f t="shared" si="73"/>
        <v>0</v>
      </c>
      <c r="R86" s="9">
        <f t="shared" si="73"/>
        <v>0</v>
      </c>
      <c r="S86" s="9">
        <f t="shared" si="73"/>
        <v>0</v>
      </c>
      <c r="T86" s="9">
        <f t="shared" si="73"/>
        <v>0</v>
      </c>
      <c r="U86" s="9">
        <f t="shared" si="73"/>
        <v>0</v>
      </c>
      <c r="V86" s="12">
        <f t="shared" si="73"/>
        <v>0</v>
      </c>
      <c r="W86" s="12">
        <f t="shared" si="73"/>
        <v>54</v>
      </c>
      <c r="X86" s="9">
        <f t="shared" si="73"/>
        <v>16.200000000000003</v>
      </c>
      <c r="Y86" s="9">
        <f t="shared" si="73"/>
        <v>0</v>
      </c>
      <c r="Z86" s="9">
        <f t="shared" si="73"/>
        <v>0</v>
      </c>
      <c r="AA86" s="9">
        <f t="shared" si="73"/>
        <v>0</v>
      </c>
      <c r="AB86" s="9">
        <f t="shared" si="73"/>
        <v>16.199999999999989</v>
      </c>
    </row>
    <row r="87" spans="2:28" x14ac:dyDescent="0.3">
      <c r="Z8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X3" sqref="X3"/>
    </sheetView>
  </sheetViews>
  <sheetFormatPr defaultRowHeight="14.4" x14ac:dyDescent="0.3"/>
  <cols>
    <col min="2" max="2" width="18.6640625" customWidth="1"/>
    <col min="3" max="3" width="6.109375" customWidth="1"/>
    <col min="4" max="4" width="7.109375" customWidth="1"/>
    <col min="5" max="5" width="6.109375" customWidth="1"/>
    <col min="6" max="6" width="5.88671875" customWidth="1"/>
    <col min="7" max="7" width="6" customWidth="1"/>
    <col min="8" max="8" width="6.33203125" customWidth="1"/>
    <col min="9" max="9" width="6.6640625" customWidth="1"/>
    <col min="10" max="10" width="6" customWidth="1"/>
    <col min="11" max="12" width="6.6640625" customWidth="1"/>
    <col min="13" max="13" width="6.33203125" customWidth="1"/>
    <col min="14" max="14" width="5.88671875" customWidth="1"/>
    <col min="15" max="15" width="6.6640625" customWidth="1"/>
    <col min="16" max="16" width="7.33203125" customWidth="1"/>
    <col min="17" max="17" width="6.44140625" customWidth="1"/>
    <col min="18" max="18" width="7.33203125" customWidth="1"/>
    <col min="19" max="19" width="7" customWidth="1"/>
    <col min="20" max="20" width="6.88671875" customWidth="1"/>
    <col min="21" max="22" width="6.6640625" customWidth="1"/>
    <col min="23" max="26" width="9.109375" customWidth="1"/>
  </cols>
  <sheetData>
    <row r="1" spans="2:29" x14ac:dyDescent="0.3">
      <c r="X1" t="s">
        <v>21</v>
      </c>
      <c r="Z1" t="s">
        <v>21</v>
      </c>
      <c r="AA1" s="21">
        <v>2020</v>
      </c>
    </row>
    <row r="2" spans="2:29" x14ac:dyDescent="0.3">
      <c r="B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16" t="s">
        <v>17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17" t="s">
        <v>18</v>
      </c>
      <c r="W2" s="6" t="s">
        <v>1</v>
      </c>
      <c r="X2" t="s">
        <v>13</v>
      </c>
      <c r="Z2" t="s">
        <v>16</v>
      </c>
      <c r="AA2" t="s">
        <v>13</v>
      </c>
    </row>
    <row r="3" spans="2:29" x14ac:dyDescent="0.3">
      <c r="B3" t="s">
        <v>31</v>
      </c>
      <c r="C3" s="5">
        <v>6</v>
      </c>
      <c r="D3" s="5">
        <v>5</v>
      </c>
      <c r="E3" s="5">
        <v>5</v>
      </c>
      <c r="F3" s="5">
        <v>7</v>
      </c>
      <c r="G3" s="5">
        <v>3</v>
      </c>
      <c r="H3" s="5">
        <v>4</v>
      </c>
      <c r="I3" s="5">
        <v>8</v>
      </c>
      <c r="J3" s="5">
        <v>5</v>
      </c>
      <c r="K3" s="5">
        <v>5</v>
      </c>
      <c r="L3" s="12">
        <f t="shared" ref="L3:L18" si="0">SUM(C3:K3)</f>
        <v>48</v>
      </c>
      <c r="M3" s="5">
        <v>6</v>
      </c>
      <c r="N3" s="5">
        <v>4</v>
      </c>
      <c r="O3" s="5">
        <v>6</v>
      </c>
      <c r="P3" s="5">
        <v>6</v>
      </c>
      <c r="Q3" s="5">
        <v>3</v>
      </c>
      <c r="R3" s="5">
        <v>4</v>
      </c>
      <c r="S3" s="5">
        <v>4</v>
      </c>
      <c r="T3" s="5">
        <v>5</v>
      </c>
      <c r="U3" s="5">
        <v>6</v>
      </c>
      <c r="V3" s="12">
        <f t="shared" ref="V3:V15" si="1">SUM(M3:U3)</f>
        <v>44</v>
      </c>
      <c r="W3" s="12">
        <f t="shared" ref="W3:W18" si="2">+L3+V3</f>
        <v>92</v>
      </c>
      <c r="X3" s="5">
        <v>24</v>
      </c>
      <c r="Y3" s="5">
        <f>(+W3-70)*0.87</f>
        <v>19.14</v>
      </c>
      <c r="Z3" s="14">
        <f>+W3-X3</f>
        <v>68</v>
      </c>
      <c r="AA3" s="5">
        <f>(W3-70)*0.875</f>
        <v>19.25</v>
      </c>
      <c r="AB3" s="10">
        <f>+Z3+'day 1'!Z3</f>
        <v>136</v>
      </c>
      <c r="AC3" s="10">
        <f>+Z3+'day 2'!Z3+'day 1'!Z3</f>
        <v>209.51</v>
      </c>
    </row>
    <row r="4" spans="2:29" x14ac:dyDescent="0.3">
      <c r="B4" t="s">
        <v>11</v>
      </c>
      <c r="C4" s="5">
        <v>5</v>
      </c>
      <c r="D4" s="5">
        <v>8</v>
      </c>
      <c r="E4" s="5">
        <v>5</v>
      </c>
      <c r="F4" s="5">
        <v>6</v>
      </c>
      <c r="G4" s="5">
        <v>4</v>
      </c>
      <c r="H4" s="5">
        <v>4</v>
      </c>
      <c r="I4" s="5">
        <v>5</v>
      </c>
      <c r="J4" s="5">
        <v>5</v>
      </c>
      <c r="K4" s="5">
        <v>5</v>
      </c>
      <c r="L4" s="12">
        <f t="shared" si="0"/>
        <v>47</v>
      </c>
      <c r="M4" s="5">
        <v>5</v>
      </c>
      <c r="N4" s="5">
        <v>5</v>
      </c>
      <c r="O4" s="5">
        <v>6</v>
      </c>
      <c r="P4" s="5">
        <v>7</v>
      </c>
      <c r="Q4" s="5">
        <v>5</v>
      </c>
      <c r="R4" s="5">
        <v>6</v>
      </c>
      <c r="S4" s="5">
        <v>5</v>
      </c>
      <c r="T4" s="5">
        <v>5</v>
      </c>
      <c r="U4" s="5">
        <v>5</v>
      </c>
      <c r="V4" s="12">
        <f t="shared" si="1"/>
        <v>49</v>
      </c>
      <c r="W4" s="12">
        <f t="shared" si="2"/>
        <v>96</v>
      </c>
      <c r="X4" s="5">
        <v>13</v>
      </c>
      <c r="Y4" s="5">
        <f t="shared" ref="Y4:Y18" si="3">(+W4-70)*0.875</f>
        <v>22.75</v>
      </c>
      <c r="Z4" s="14">
        <f t="shared" ref="Z4:Z18" si="4">+W4-X4</f>
        <v>83</v>
      </c>
      <c r="AA4" s="5">
        <f t="shared" ref="AA4:AA18" si="5">(W4-70)*0.875</f>
        <v>22.75</v>
      </c>
      <c r="AB4" s="10">
        <f>+Z4+'day 1'!Z4</f>
        <v>146.25</v>
      </c>
      <c r="AC4" s="10">
        <f>+Z4+'day 2'!Z4+'day 1'!Z4</f>
        <v>217.25</v>
      </c>
    </row>
    <row r="5" spans="2:29" x14ac:dyDescent="0.3">
      <c r="B5" t="s">
        <v>3</v>
      </c>
      <c r="C5" s="5">
        <v>6</v>
      </c>
      <c r="D5" s="5">
        <v>9</v>
      </c>
      <c r="E5" s="5">
        <v>6</v>
      </c>
      <c r="F5" s="5">
        <v>8</v>
      </c>
      <c r="G5" s="5">
        <v>7</v>
      </c>
      <c r="H5" s="5">
        <v>6</v>
      </c>
      <c r="I5" s="5">
        <v>6</v>
      </c>
      <c r="J5" s="5">
        <v>6</v>
      </c>
      <c r="K5" s="5">
        <v>5</v>
      </c>
      <c r="L5" s="12">
        <f t="shared" si="0"/>
        <v>59</v>
      </c>
      <c r="M5" s="5">
        <v>5</v>
      </c>
      <c r="N5" s="5">
        <v>6</v>
      </c>
      <c r="O5" s="5">
        <v>5</v>
      </c>
      <c r="P5" s="5">
        <v>5</v>
      </c>
      <c r="Q5" s="5">
        <v>3</v>
      </c>
      <c r="R5" s="5">
        <v>5</v>
      </c>
      <c r="S5" s="5">
        <v>6</v>
      </c>
      <c r="T5" s="5">
        <v>6</v>
      </c>
      <c r="U5" s="5">
        <v>4</v>
      </c>
      <c r="V5" s="12">
        <f t="shared" si="1"/>
        <v>45</v>
      </c>
      <c r="W5" s="12">
        <f t="shared" si="2"/>
        <v>104</v>
      </c>
      <c r="X5" s="5">
        <v>34</v>
      </c>
      <c r="Y5" s="5">
        <f t="shared" si="3"/>
        <v>29.75</v>
      </c>
      <c r="Z5" s="14">
        <f t="shared" si="4"/>
        <v>70</v>
      </c>
      <c r="AA5" s="5">
        <f t="shared" si="5"/>
        <v>29.75</v>
      </c>
      <c r="AB5" s="10">
        <f>+Z5+'day 1'!Z5</f>
        <v>145.25</v>
      </c>
      <c r="AC5" s="10">
        <f>+Z5+'day 2'!Z5+'day 1'!Z5</f>
        <v>223.625</v>
      </c>
    </row>
    <row r="6" spans="2:29" x14ac:dyDescent="0.3">
      <c r="B6" t="s">
        <v>4</v>
      </c>
      <c r="C6" s="5">
        <v>5</v>
      </c>
      <c r="D6" s="5">
        <v>5</v>
      </c>
      <c r="E6" s="5">
        <v>6</v>
      </c>
      <c r="F6" s="5">
        <v>7</v>
      </c>
      <c r="G6" s="5">
        <v>4</v>
      </c>
      <c r="H6" s="5">
        <v>4</v>
      </c>
      <c r="I6" s="5">
        <v>6</v>
      </c>
      <c r="J6" s="5">
        <v>5</v>
      </c>
      <c r="K6" s="5">
        <v>5</v>
      </c>
      <c r="L6" s="12">
        <f t="shared" si="0"/>
        <v>47</v>
      </c>
      <c r="M6" s="5">
        <v>6</v>
      </c>
      <c r="N6" s="5">
        <v>7</v>
      </c>
      <c r="O6" s="5">
        <v>5</v>
      </c>
      <c r="P6" s="5">
        <v>6</v>
      </c>
      <c r="Q6" s="5">
        <v>3</v>
      </c>
      <c r="R6" s="5">
        <v>4</v>
      </c>
      <c r="S6" s="5">
        <v>6</v>
      </c>
      <c r="T6" s="5">
        <v>5</v>
      </c>
      <c r="U6" s="5">
        <v>4</v>
      </c>
      <c r="V6" s="12">
        <f t="shared" si="1"/>
        <v>46</v>
      </c>
      <c r="W6" s="12">
        <f t="shared" si="2"/>
        <v>93</v>
      </c>
      <c r="X6" s="5">
        <v>24</v>
      </c>
      <c r="Y6" s="5">
        <f t="shared" si="3"/>
        <v>20.125</v>
      </c>
      <c r="Z6" s="14">
        <f t="shared" si="4"/>
        <v>69</v>
      </c>
      <c r="AA6" s="5">
        <f t="shared" si="5"/>
        <v>20.125</v>
      </c>
      <c r="AB6" s="10">
        <f>+Z6+'day 1'!Z6</f>
        <v>136.875</v>
      </c>
      <c r="AC6" s="10">
        <f>+Z6+'day 2'!Z6+'day 1'!Z6</f>
        <v>218.125</v>
      </c>
    </row>
    <row r="7" spans="2:29" x14ac:dyDescent="0.3">
      <c r="B7" t="s">
        <v>5</v>
      </c>
      <c r="C7" s="5">
        <v>5</v>
      </c>
      <c r="D7" s="5">
        <v>4</v>
      </c>
      <c r="E7" s="5">
        <v>5</v>
      </c>
      <c r="F7" s="5">
        <v>5</v>
      </c>
      <c r="G7" s="5">
        <v>3</v>
      </c>
      <c r="H7" s="5">
        <v>5</v>
      </c>
      <c r="I7" s="5">
        <v>5</v>
      </c>
      <c r="J7" s="5">
        <v>4</v>
      </c>
      <c r="K7" s="5">
        <v>6</v>
      </c>
      <c r="L7" s="12">
        <f t="shared" si="0"/>
        <v>42</v>
      </c>
      <c r="M7" s="5">
        <v>7</v>
      </c>
      <c r="N7" s="5">
        <v>5</v>
      </c>
      <c r="O7" s="5">
        <v>6</v>
      </c>
      <c r="P7" s="5">
        <v>6</v>
      </c>
      <c r="Q7" s="5">
        <v>3</v>
      </c>
      <c r="R7" s="5">
        <v>4</v>
      </c>
      <c r="S7" s="5">
        <v>6</v>
      </c>
      <c r="T7" s="5">
        <v>6</v>
      </c>
      <c r="U7" s="5">
        <v>6</v>
      </c>
      <c r="V7" s="12">
        <f t="shared" si="1"/>
        <v>49</v>
      </c>
      <c r="W7" s="12">
        <f t="shared" si="2"/>
        <v>91</v>
      </c>
      <c r="X7" s="5">
        <v>17</v>
      </c>
      <c r="Y7" s="5">
        <f t="shared" si="3"/>
        <v>18.375</v>
      </c>
      <c r="Z7" s="14">
        <f t="shared" si="4"/>
        <v>74</v>
      </c>
      <c r="AA7" s="5">
        <f t="shared" si="5"/>
        <v>18.375</v>
      </c>
      <c r="AB7" s="10">
        <f>+Z7+'day 1'!Z7</f>
        <v>150.625</v>
      </c>
      <c r="AC7" s="10">
        <f>+Z7+'day 2'!Z7+'day 1'!Z7</f>
        <v>217.75</v>
      </c>
    </row>
    <row r="8" spans="2:29" x14ac:dyDescent="0.3">
      <c r="B8" t="s">
        <v>6</v>
      </c>
      <c r="C8" s="5">
        <v>6</v>
      </c>
      <c r="D8" s="5">
        <v>4</v>
      </c>
      <c r="E8" s="5">
        <v>4</v>
      </c>
      <c r="F8" s="5">
        <v>8</v>
      </c>
      <c r="G8" s="5">
        <v>4</v>
      </c>
      <c r="H8" s="5">
        <v>5</v>
      </c>
      <c r="I8" s="5">
        <v>7</v>
      </c>
      <c r="J8" s="5">
        <v>6</v>
      </c>
      <c r="K8" s="5">
        <v>5</v>
      </c>
      <c r="L8" s="12">
        <f t="shared" si="0"/>
        <v>49</v>
      </c>
      <c r="M8" s="5">
        <v>5</v>
      </c>
      <c r="N8" s="5">
        <v>4</v>
      </c>
      <c r="O8" s="5">
        <v>7</v>
      </c>
      <c r="P8" s="5">
        <v>8</v>
      </c>
      <c r="Q8" s="5">
        <v>4</v>
      </c>
      <c r="R8" s="5">
        <v>6</v>
      </c>
      <c r="S8" s="5">
        <v>3</v>
      </c>
      <c r="T8" s="5">
        <v>6</v>
      </c>
      <c r="U8" s="5">
        <v>6</v>
      </c>
      <c r="V8" s="12">
        <f t="shared" si="1"/>
        <v>49</v>
      </c>
      <c r="W8" s="12">
        <f t="shared" si="2"/>
        <v>98</v>
      </c>
      <c r="X8" s="5">
        <v>15</v>
      </c>
      <c r="Y8" s="5">
        <f t="shared" si="3"/>
        <v>24.5</v>
      </c>
      <c r="Z8" s="14">
        <f t="shared" si="4"/>
        <v>83</v>
      </c>
      <c r="AA8" s="5">
        <f t="shared" si="5"/>
        <v>24.5</v>
      </c>
      <c r="AB8" s="10">
        <f>+Z8+'day 1'!Z8</f>
        <v>141.5</v>
      </c>
      <c r="AC8" s="10">
        <f>+Z8+'day 2'!Z8+'day 1'!Z8</f>
        <v>217.125</v>
      </c>
    </row>
    <row r="9" spans="2:29" x14ac:dyDescent="0.3">
      <c r="B9" t="s">
        <v>7</v>
      </c>
      <c r="C9" s="5">
        <v>10</v>
      </c>
      <c r="D9" s="5">
        <v>8</v>
      </c>
      <c r="E9" s="5">
        <v>6</v>
      </c>
      <c r="F9" s="5">
        <v>8</v>
      </c>
      <c r="G9" s="5">
        <v>5</v>
      </c>
      <c r="H9" s="5">
        <v>5</v>
      </c>
      <c r="I9" s="5">
        <v>8</v>
      </c>
      <c r="J9" s="5">
        <v>7</v>
      </c>
      <c r="K9" s="5">
        <v>7</v>
      </c>
      <c r="L9" s="12">
        <f t="shared" si="0"/>
        <v>64</v>
      </c>
      <c r="M9" s="5">
        <v>8</v>
      </c>
      <c r="N9" s="5">
        <v>7</v>
      </c>
      <c r="O9" s="5">
        <v>11</v>
      </c>
      <c r="P9" s="5">
        <v>8</v>
      </c>
      <c r="Q9" s="5">
        <v>6</v>
      </c>
      <c r="R9" s="5">
        <v>6</v>
      </c>
      <c r="S9" s="5">
        <v>9</v>
      </c>
      <c r="T9" s="5">
        <v>9</v>
      </c>
      <c r="U9" s="5">
        <v>7</v>
      </c>
      <c r="V9" s="12">
        <f t="shared" si="1"/>
        <v>71</v>
      </c>
      <c r="W9" s="12">
        <f t="shared" si="2"/>
        <v>135</v>
      </c>
      <c r="X9" s="5">
        <f>+'day 1'!AA9</f>
        <v>56.875</v>
      </c>
      <c r="Y9" s="5">
        <f t="shared" si="3"/>
        <v>56.875</v>
      </c>
      <c r="Z9" s="14">
        <f t="shared" si="4"/>
        <v>78.125</v>
      </c>
      <c r="AA9" s="5">
        <f t="shared" si="5"/>
        <v>56.875</v>
      </c>
      <c r="AB9" s="10">
        <f>+Z9+'day 1'!Z9</f>
        <v>156.25</v>
      </c>
      <c r="AC9" s="10">
        <f>+Z9+'day 2'!Z9+'day 1'!Z9</f>
        <v>236.375</v>
      </c>
    </row>
    <row r="10" spans="2:29" x14ac:dyDescent="0.3">
      <c r="B10" t="s">
        <v>8</v>
      </c>
      <c r="C10" s="5">
        <v>6</v>
      </c>
      <c r="D10" s="5">
        <v>5</v>
      </c>
      <c r="E10" s="5">
        <v>5</v>
      </c>
      <c r="F10" s="5">
        <v>7</v>
      </c>
      <c r="G10" s="5">
        <v>3</v>
      </c>
      <c r="H10" s="5">
        <v>4</v>
      </c>
      <c r="I10" s="5">
        <v>5</v>
      </c>
      <c r="J10" s="5">
        <v>4</v>
      </c>
      <c r="K10" s="5">
        <v>5</v>
      </c>
      <c r="L10" s="12">
        <f t="shared" si="0"/>
        <v>44</v>
      </c>
      <c r="M10" s="5">
        <v>4</v>
      </c>
      <c r="N10" s="5">
        <v>5</v>
      </c>
      <c r="O10" s="5">
        <v>5</v>
      </c>
      <c r="P10" s="5">
        <v>6</v>
      </c>
      <c r="Q10" s="5">
        <v>5</v>
      </c>
      <c r="R10" s="5">
        <v>3</v>
      </c>
      <c r="S10" s="5">
        <v>5</v>
      </c>
      <c r="T10" s="5">
        <v>6</v>
      </c>
      <c r="U10" s="5">
        <v>4</v>
      </c>
      <c r="V10" s="12">
        <f t="shared" si="1"/>
        <v>43</v>
      </c>
      <c r="W10" s="12">
        <f t="shared" si="2"/>
        <v>87</v>
      </c>
      <c r="X10" s="5">
        <v>11</v>
      </c>
      <c r="Y10" s="5">
        <f t="shared" si="3"/>
        <v>14.875</v>
      </c>
      <c r="Z10" s="14">
        <f t="shared" si="4"/>
        <v>76</v>
      </c>
      <c r="AA10" s="5">
        <f t="shared" si="5"/>
        <v>14.875</v>
      </c>
      <c r="AB10" s="10">
        <f>+Z10+'day 1'!Z10</f>
        <v>152.125</v>
      </c>
      <c r="AC10" s="23">
        <f>+Z10+'day 2'!Z10+'day 1'!Z10</f>
        <v>216.75</v>
      </c>
    </row>
    <row r="11" spans="2:29" x14ac:dyDescent="0.3">
      <c r="B11" t="s">
        <v>30</v>
      </c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/>
      <c r="T11" s="5"/>
      <c r="U11" s="5"/>
      <c r="V11" s="12"/>
      <c r="W11" s="12"/>
      <c r="X11" s="5"/>
      <c r="Y11" s="5"/>
      <c r="Z11" s="14"/>
      <c r="AA11" s="5"/>
      <c r="AB11" s="10"/>
      <c r="AC11" s="23"/>
    </row>
    <row r="12" spans="2:29" x14ac:dyDescent="0.3">
      <c r="B12" t="s">
        <v>9</v>
      </c>
      <c r="C12" s="5">
        <v>6</v>
      </c>
      <c r="D12" s="5">
        <v>4</v>
      </c>
      <c r="E12" s="5">
        <v>6</v>
      </c>
      <c r="F12" s="5">
        <v>7</v>
      </c>
      <c r="G12" s="5">
        <v>3</v>
      </c>
      <c r="H12" s="5">
        <v>4</v>
      </c>
      <c r="I12" s="5">
        <v>6</v>
      </c>
      <c r="J12" s="5">
        <v>5</v>
      </c>
      <c r="K12" s="5">
        <v>4</v>
      </c>
      <c r="L12" s="12">
        <f t="shared" si="0"/>
        <v>45</v>
      </c>
      <c r="M12" s="5">
        <v>4</v>
      </c>
      <c r="N12" s="5">
        <v>5</v>
      </c>
      <c r="O12" s="5">
        <v>5</v>
      </c>
      <c r="P12" s="5">
        <v>6</v>
      </c>
      <c r="Q12" s="5">
        <v>3</v>
      </c>
      <c r="R12" s="5">
        <v>3</v>
      </c>
      <c r="S12" s="5">
        <v>6</v>
      </c>
      <c r="T12" s="5">
        <v>5</v>
      </c>
      <c r="U12" s="5">
        <v>6</v>
      </c>
      <c r="V12" s="12">
        <f t="shared" si="1"/>
        <v>43</v>
      </c>
      <c r="W12" s="12">
        <f t="shared" si="2"/>
        <v>88</v>
      </c>
      <c r="X12" s="5">
        <v>22</v>
      </c>
      <c r="Y12" s="5">
        <f t="shared" si="3"/>
        <v>15.75</v>
      </c>
      <c r="Z12" s="14">
        <f t="shared" si="4"/>
        <v>66</v>
      </c>
      <c r="AA12" s="5">
        <f t="shared" si="5"/>
        <v>15.75</v>
      </c>
      <c r="AB12" s="10">
        <f>+Z12+'day 1'!Z11</f>
        <v>139.25</v>
      </c>
      <c r="AC12" s="10">
        <f>+Z12+'day 2'!Z11+'day 1'!Z11</f>
        <v>217.625</v>
      </c>
    </row>
    <row r="13" spans="2:29" x14ac:dyDescent="0.3">
      <c r="B13" t="s">
        <v>10</v>
      </c>
      <c r="C13" s="5">
        <v>5</v>
      </c>
      <c r="D13" s="5">
        <v>4</v>
      </c>
      <c r="E13" s="5">
        <v>5</v>
      </c>
      <c r="F13" s="5">
        <v>5</v>
      </c>
      <c r="G13" s="5">
        <v>3</v>
      </c>
      <c r="H13" s="5">
        <v>4</v>
      </c>
      <c r="I13" s="5">
        <v>5</v>
      </c>
      <c r="J13" s="5">
        <v>4</v>
      </c>
      <c r="K13" s="5">
        <v>5</v>
      </c>
      <c r="L13" s="12">
        <f t="shared" si="0"/>
        <v>40</v>
      </c>
      <c r="M13" s="5">
        <v>6</v>
      </c>
      <c r="N13" s="5">
        <v>5</v>
      </c>
      <c r="O13" s="5">
        <v>5</v>
      </c>
      <c r="P13" s="5">
        <v>6</v>
      </c>
      <c r="Q13" s="5">
        <v>3</v>
      </c>
      <c r="R13" s="5">
        <v>5</v>
      </c>
      <c r="S13" s="5">
        <v>4</v>
      </c>
      <c r="T13" s="5">
        <v>5</v>
      </c>
      <c r="U13" s="5">
        <v>6</v>
      </c>
      <c r="V13" s="12">
        <f t="shared" si="1"/>
        <v>45</v>
      </c>
      <c r="W13" s="12">
        <f t="shared" si="2"/>
        <v>85</v>
      </c>
      <c r="X13" s="5">
        <v>19</v>
      </c>
      <c r="Y13" s="5">
        <f t="shared" si="3"/>
        <v>13.125</v>
      </c>
      <c r="Z13" s="14">
        <f t="shared" si="4"/>
        <v>66</v>
      </c>
      <c r="AA13" s="5">
        <f t="shared" si="5"/>
        <v>13.125</v>
      </c>
      <c r="AB13" s="10">
        <f>+Z13+'day 1'!Z12</f>
        <v>130.875</v>
      </c>
      <c r="AC13" s="24">
        <f>+Z13+'day 2'!Z12+'day 1'!Z12</f>
        <v>215.875</v>
      </c>
    </row>
    <row r="14" spans="2:29" x14ac:dyDescent="0.3">
      <c r="B14" t="s">
        <v>12</v>
      </c>
      <c r="C14" s="5">
        <v>7</v>
      </c>
      <c r="D14" s="5">
        <v>6</v>
      </c>
      <c r="E14" s="5">
        <v>6</v>
      </c>
      <c r="F14" s="5">
        <v>6</v>
      </c>
      <c r="G14" s="5">
        <v>4</v>
      </c>
      <c r="H14" s="5">
        <v>6</v>
      </c>
      <c r="I14" s="5">
        <v>8</v>
      </c>
      <c r="J14" s="5">
        <v>4</v>
      </c>
      <c r="K14" s="5">
        <v>5</v>
      </c>
      <c r="L14" s="12">
        <f t="shared" si="0"/>
        <v>52</v>
      </c>
      <c r="M14" s="5">
        <v>6</v>
      </c>
      <c r="N14" s="5">
        <v>5</v>
      </c>
      <c r="O14" s="5">
        <v>5</v>
      </c>
      <c r="P14" s="5">
        <v>7</v>
      </c>
      <c r="Q14" s="5">
        <v>4</v>
      </c>
      <c r="R14" s="5">
        <v>5</v>
      </c>
      <c r="S14" s="5">
        <v>4</v>
      </c>
      <c r="T14" s="5">
        <v>5</v>
      </c>
      <c r="U14" s="5">
        <v>6</v>
      </c>
      <c r="V14" s="12">
        <f t="shared" si="1"/>
        <v>47</v>
      </c>
      <c r="W14" s="12">
        <f t="shared" si="2"/>
        <v>99</v>
      </c>
      <c r="X14" s="5">
        <v>40</v>
      </c>
      <c r="Y14" s="5">
        <f t="shared" si="3"/>
        <v>25.375</v>
      </c>
      <c r="Z14" s="14">
        <f t="shared" si="4"/>
        <v>59</v>
      </c>
      <c r="AA14" s="5">
        <f t="shared" si="5"/>
        <v>25.375</v>
      </c>
      <c r="AB14" s="10">
        <f>+Z14+'day 1'!Z14</f>
        <v>132.625</v>
      </c>
      <c r="AC14" s="10">
        <f>+Z14+'day 2'!Z13+'day 1'!Z14</f>
        <v>223.25</v>
      </c>
    </row>
    <row r="15" spans="2:29" x14ac:dyDescent="0.3">
      <c r="B15" t="s">
        <v>22</v>
      </c>
      <c r="C15" s="5">
        <v>7</v>
      </c>
      <c r="D15" s="5">
        <v>5</v>
      </c>
      <c r="E15" s="5">
        <v>7</v>
      </c>
      <c r="F15" s="5">
        <v>7</v>
      </c>
      <c r="G15" s="5">
        <v>5</v>
      </c>
      <c r="H15" s="5">
        <v>5</v>
      </c>
      <c r="I15" s="5">
        <v>6</v>
      </c>
      <c r="J15" s="5">
        <v>6</v>
      </c>
      <c r="K15" s="5">
        <v>5</v>
      </c>
      <c r="L15" s="12">
        <f t="shared" si="0"/>
        <v>53</v>
      </c>
      <c r="M15" s="5">
        <v>6</v>
      </c>
      <c r="N15" s="5">
        <v>7</v>
      </c>
      <c r="O15" s="5">
        <v>5</v>
      </c>
      <c r="P15" s="5">
        <v>6</v>
      </c>
      <c r="Q15" s="5">
        <v>4</v>
      </c>
      <c r="R15" s="5">
        <v>5</v>
      </c>
      <c r="S15" s="5">
        <v>6</v>
      </c>
      <c r="T15" s="5">
        <v>5</v>
      </c>
      <c r="U15" s="5">
        <v>5</v>
      </c>
      <c r="V15" s="12">
        <f t="shared" si="1"/>
        <v>49</v>
      </c>
      <c r="W15" s="12">
        <f t="shared" si="2"/>
        <v>102</v>
      </c>
      <c r="X15" s="5">
        <v>25</v>
      </c>
      <c r="Y15" s="5">
        <f t="shared" si="3"/>
        <v>28</v>
      </c>
      <c r="Z15" s="14">
        <f t="shared" si="4"/>
        <v>77</v>
      </c>
      <c r="AA15" s="5">
        <f t="shared" si="5"/>
        <v>28</v>
      </c>
      <c r="AB15" s="10">
        <f>+Z15+'day 1'!Z15</f>
        <v>147</v>
      </c>
      <c r="AC15" s="10">
        <f>+Z15+'day 2'!Z14+'day 1'!Z15</f>
        <v>221.5</v>
      </c>
    </row>
    <row r="16" spans="2:29" x14ac:dyDescent="0.3">
      <c r="B16" t="s">
        <v>23</v>
      </c>
      <c r="C16" s="5">
        <v>6</v>
      </c>
      <c r="D16" s="5">
        <v>7</v>
      </c>
      <c r="E16" s="5">
        <v>5</v>
      </c>
      <c r="F16" s="5">
        <v>6</v>
      </c>
      <c r="G16" s="5">
        <v>8</v>
      </c>
      <c r="H16" s="5">
        <v>6</v>
      </c>
      <c r="I16" s="5">
        <v>6</v>
      </c>
      <c r="J16" s="5">
        <v>5</v>
      </c>
      <c r="K16" s="5">
        <v>4</v>
      </c>
      <c r="L16" s="12">
        <f t="shared" si="0"/>
        <v>53</v>
      </c>
      <c r="M16" s="5">
        <v>4</v>
      </c>
      <c r="N16" s="5">
        <v>5</v>
      </c>
      <c r="O16" s="5">
        <v>6</v>
      </c>
      <c r="P16" s="5">
        <v>7</v>
      </c>
      <c r="Q16" s="5">
        <v>5</v>
      </c>
      <c r="R16" s="5">
        <v>7</v>
      </c>
      <c r="S16" s="5">
        <v>9</v>
      </c>
      <c r="T16" s="5">
        <v>5</v>
      </c>
      <c r="U16" s="5">
        <v>6</v>
      </c>
      <c r="V16" s="12">
        <f>SUM(M16:U16)</f>
        <v>54</v>
      </c>
      <c r="W16" s="12">
        <f t="shared" si="2"/>
        <v>107</v>
      </c>
      <c r="X16" s="5">
        <v>31</v>
      </c>
      <c r="Y16" s="5">
        <f t="shared" si="3"/>
        <v>32.375</v>
      </c>
      <c r="Z16" s="14">
        <f t="shared" si="4"/>
        <v>76</v>
      </c>
      <c r="AA16" s="5">
        <f t="shared" si="5"/>
        <v>32.375</v>
      </c>
      <c r="AB16" s="10">
        <f>+Z16+'day 1'!Z16</f>
        <v>145</v>
      </c>
      <c r="AC16" s="10">
        <f>+Z16+'day 2'!Z15+'day 1'!Z16</f>
        <v>238.625</v>
      </c>
    </row>
    <row r="17" spans="1:31" x14ac:dyDescent="0.3">
      <c r="B17" t="s">
        <v>24</v>
      </c>
      <c r="C17" s="5">
        <v>9</v>
      </c>
      <c r="D17" s="5">
        <v>7</v>
      </c>
      <c r="E17" s="5">
        <v>9</v>
      </c>
      <c r="F17" s="5">
        <v>9</v>
      </c>
      <c r="G17" s="5">
        <v>5</v>
      </c>
      <c r="H17" s="5">
        <v>6</v>
      </c>
      <c r="I17" s="5">
        <v>6</v>
      </c>
      <c r="J17" s="5">
        <v>8</v>
      </c>
      <c r="K17" s="5">
        <v>8</v>
      </c>
      <c r="L17" s="12">
        <f t="shared" si="0"/>
        <v>67</v>
      </c>
      <c r="M17" s="5">
        <v>6</v>
      </c>
      <c r="N17" s="5">
        <v>7</v>
      </c>
      <c r="O17" s="5">
        <v>6</v>
      </c>
      <c r="P17" s="5">
        <v>7</v>
      </c>
      <c r="Q17" s="5">
        <v>4</v>
      </c>
      <c r="R17" s="5">
        <v>4</v>
      </c>
      <c r="S17" s="5">
        <v>6</v>
      </c>
      <c r="T17" s="5">
        <v>7</v>
      </c>
      <c r="U17" s="5">
        <v>8</v>
      </c>
      <c r="V17" s="12">
        <f>SUM(M17:U17)</f>
        <v>55</v>
      </c>
      <c r="W17" s="12">
        <f t="shared" si="2"/>
        <v>122</v>
      </c>
      <c r="X17" s="5">
        <v>46</v>
      </c>
      <c r="Y17" s="5">
        <f t="shared" si="3"/>
        <v>45.5</v>
      </c>
      <c r="Z17" s="14">
        <f t="shared" si="4"/>
        <v>76</v>
      </c>
      <c r="AA17" s="5">
        <f t="shared" si="5"/>
        <v>45.5</v>
      </c>
      <c r="AB17" s="10">
        <f>+Z17+'day 1'!Z17</f>
        <v>153</v>
      </c>
      <c r="AC17" s="10">
        <f>+Z17+'day 2'!Z16+'day 1'!Z17</f>
        <v>269.875</v>
      </c>
    </row>
    <row r="18" spans="1:31" x14ac:dyDescent="0.3">
      <c r="B18" t="s">
        <v>28</v>
      </c>
      <c r="C18" s="5">
        <v>6</v>
      </c>
      <c r="D18" s="5">
        <v>6</v>
      </c>
      <c r="E18" s="5">
        <v>6</v>
      </c>
      <c r="F18" s="5">
        <v>6</v>
      </c>
      <c r="G18" s="5">
        <v>3</v>
      </c>
      <c r="H18" s="5">
        <v>7</v>
      </c>
      <c r="I18" s="5">
        <v>6</v>
      </c>
      <c r="J18" s="5">
        <v>4</v>
      </c>
      <c r="K18" s="5">
        <v>6</v>
      </c>
      <c r="L18" s="12">
        <f t="shared" si="0"/>
        <v>50</v>
      </c>
      <c r="M18" s="5">
        <v>6</v>
      </c>
      <c r="N18" s="5">
        <v>8</v>
      </c>
      <c r="O18" s="5">
        <v>8</v>
      </c>
      <c r="P18" s="5">
        <v>6</v>
      </c>
      <c r="Q18" s="5">
        <v>5</v>
      </c>
      <c r="R18" s="5">
        <v>6</v>
      </c>
      <c r="S18" s="5">
        <v>6</v>
      </c>
      <c r="T18" s="5">
        <v>5</v>
      </c>
      <c r="U18" s="5">
        <v>5</v>
      </c>
      <c r="V18" s="12">
        <f>SUM(M18:U18)</f>
        <v>55</v>
      </c>
      <c r="W18" s="12">
        <f t="shared" si="2"/>
        <v>105</v>
      </c>
      <c r="X18" s="5">
        <v>28</v>
      </c>
      <c r="Y18" s="5">
        <f t="shared" si="3"/>
        <v>30.625</v>
      </c>
      <c r="Z18" s="14">
        <f t="shared" si="4"/>
        <v>77</v>
      </c>
      <c r="AA18" s="5">
        <f t="shared" si="5"/>
        <v>30.625</v>
      </c>
      <c r="AB18" s="10">
        <f>+Z18+'day 1'!Z23</f>
        <v>155</v>
      </c>
      <c r="AC18" s="10"/>
    </row>
    <row r="19" spans="1:31" x14ac:dyDescent="0.3">
      <c r="B19" t="s">
        <v>13</v>
      </c>
      <c r="C19" s="5">
        <v>11</v>
      </c>
      <c r="D19" s="5">
        <v>17</v>
      </c>
      <c r="E19" s="5">
        <v>15</v>
      </c>
      <c r="F19" s="5">
        <v>7</v>
      </c>
      <c r="G19" s="5">
        <v>3</v>
      </c>
      <c r="H19" s="5">
        <v>9</v>
      </c>
      <c r="I19" s="5">
        <v>1</v>
      </c>
      <c r="J19" s="5">
        <v>13</v>
      </c>
      <c r="K19" s="5">
        <v>5</v>
      </c>
      <c r="L19" s="12"/>
      <c r="M19" s="5">
        <v>12</v>
      </c>
      <c r="N19" s="5">
        <v>18</v>
      </c>
      <c r="O19" s="5">
        <v>16</v>
      </c>
      <c r="P19" s="5">
        <v>8</v>
      </c>
      <c r="Q19" s="5">
        <v>6</v>
      </c>
      <c r="R19" s="5">
        <v>10</v>
      </c>
      <c r="S19" s="5">
        <v>2</v>
      </c>
      <c r="T19" s="5">
        <v>14</v>
      </c>
      <c r="U19" s="5">
        <v>6</v>
      </c>
      <c r="V19" s="12"/>
      <c r="W19" s="12"/>
    </row>
    <row r="20" spans="1:31" x14ac:dyDescent="0.3">
      <c r="L20" s="6"/>
      <c r="V20" s="6"/>
      <c r="W20" s="13"/>
    </row>
    <row r="21" spans="1:31" x14ac:dyDescent="0.3">
      <c r="B21" t="s">
        <v>26</v>
      </c>
      <c r="L21" s="6"/>
      <c r="V21" s="6"/>
      <c r="W21" s="13"/>
    </row>
    <row r="22" spans="1:31" x14ac:dyDescent="0.3">
      <c r="A22">
        <v>1</v>
      </c>
      <c r="B22" t="str">
        <f t="shared" ref="B22:B37" si="6">+B3</f>
        <v>Colin Sullivan</v>
      </c>
      <c r="C22" s="14">
        <f>+C3-1</f>
        <v>5</v>
      </c>
      <c r="D22" s="14">
        <f>+D3-1</f>
        <v>4</v>
      </c>
      <c r="E22" s="14">
        <f>+E3-1</f>
        <v>4</v>
      </c>
      <c r="F22" s="14">
        <f>+F3-1</f>
        <v>6</v>
      </c>
      <c r="G22" s="14">
        <f>+G3-2</f>
        <v>1</v>
      </c>
      <c r="H22" s="14">
        <f>+H3-1</f>
        <v>3</v>
      </c>
      <c r="I22" s="14">
        <f>+I3-2</f>
        <v>6</v>
      </c>
      <c r="J22" s="14">
        <f>+J3-1</f>
        <v>4</v>
      </c>
      <c r="K22" s="14">
        <f>+K3-2</f>
        <v>3</v>
      </c>
      <c r="L22" s="9">
        <f t="shared" ref="L22:L29" si="7">SUM(C22:K22)</f>
        <v>36</v>
      </c>
      <c r="M22" s="14">
        <f>+M3-1</f>
        <v>5</v>
      </c>
      <c r="N22" s="14">
        <f>+N3-1</f>
        <v>3</v>
      </c>
      <c r="O22" s="14">
        <f>+O3-1</f>
        <v>5</v>
      </c>
      <c r="P22" s="14">
        <f>+P3-1</f>
        <v>5</v>
      </c>
      <c r="Q22" s="14">
        <f>+Q3-2</f>
        <v>1</v>
      </c>
      <c r="R22" s="14">
        <f>+R3-1</f>
        <v>3</v>
      </c>
      <c r="S22" s="14">
        <f>+S3-2</f>
        <v>2</v>
      </c>
      <c r="T22" s="14">
        <f>+T3-1</f>
        <v>4</v>
      </c>
      <c r="U22" s="14">
        <f>+U3-2</f>
        <v>4</v>
      </c>
      <c r="V22" s="9">
        <f t="shared" ref="V22:V37" si="8">SUM(M22:U22)</f>
        <v>32</v>
      </c>
      <c r="W22" s="9">
        <f>+V22+L22</f>
        <v>68</v>
      </c>
      <c r="X22" s="8">
        <f>(0.5*7)-(0.5*6)</f>
        <v>0.5</v>
      </c>
      <c r="Y22" s="8">
        <f>(0.5*10)-(0.5*2)</f>
        <v>4</v>
      </c>
      <c r="Z22" s="8">
        <f>(1*11)-(1*3)</f>
        <v>8</v>
      </c>
      <c r="AA22" s="22">
        <f>SUM(X22:Z22)</f>
        <v>12.5</v>
      </c>
      <c r="AB22" s="18">
        <v>4.5</v>
      </c>
      <c r="AC22" s="11">
        <f>SUM(AA22:AB22)</f>
        <v>17</v>
      </c>
      <c r="AD22" s="14"/>
      <c r="AE22" s="14"/>
    </row>
    <row r="23" spans="1:31" x14ac:dyDescent="0.3">
      <c r="A23">
        <v>2</v>
      </c>
      <c r="B23" t="str">
        <f t="shared" si="6"/>
        <v>Bernie Sullivan</v>
      </c>
      <c r="C23" s="14">
        <f>+C4-1</f>
        <v>4</v>
      </c>
      <c r="D23" s="14">
        <f>+D4</f>
        <v>8</v>
      </c>
      <c r="E23" s="14">
        <f>+E4</f>
        <v>5</v>
      </c>
      <c r="F23" s="14">
        <f>+F4-1</f>
        <v>5</v>
      </c>
      <c r="G23" s="14">
        <f>+G4-1</f>
        <v>3</v>
      </c>
      <c r="H23" s="14">
        <f>+H4-1</f>
        <v>3</v>
      </c>
      <c r="I23" s="14">
        <f>+I4-1</f>
        <v>4</v>
      </c>
      <c r="J23" s="14">
        <f>+J4-1</f>
        <v>4</v>
      </c>
      <c r="K23" s="14">
        <f>+K4-1</f>
        <v>4</v>
      </c>
      <c r="L23" s="9">
        <f t="shared" si="7"/>
        <v>40</v>
      </c>
      <c r="M23" s="14">
        <f>+M4-1</f>
        <v>4</v>
      </c>
      <c r="N23" s="14">
        <f>+N4</f>
        <v>5</v>
      </c>
      <c r="O23" s="14">
        <f>+O4</f>
        <v>6</v>
      </c>
      <c r="P23" s="14">
        <f>+P4-1</f>
        <v>6</v>
      </c>
      <c r="Q23" s="14">
        <f>+Q4-1</f>
        <v>4</v>
      </c>
      <c r="R23" s="14">
        <f>+R4-1</f>
        <v>5</v>
      </c>
      <c r="S23" s="14">
        <f>+S4-1</f>
        <v>4</v>
      </c>
      <c r="T23" s="14">
        <f>+T4</f>
        <v>5</v>
      </c>
      <c r="U23" s="14">
        <f>+U4-1</f>
        <v>4</v>
      </c>
      <c r="V23" s="9">
        <f t="shared" si="8"/>
        <v>43</v>
      </c>
      <c r="W23" s="9">
        <f t="shared" ref="W23:W37" si="9">+V23+L23</f>
        <v>83</v>
      </c>
      <c r="X23" s="8">
        <f>(0.5*3)-(0.5*10)</f>
        <v>-3.5</v>
      </c>
      <c r="Y23" s="8">
        <v>-7</v>
      </c>
      <c r="Z23" s="8">
        <f>(1*0)-(1*13)</f>
        <v>-13</v>
      </c>
      <c r="AA23" s="22">
        <f t="shared" ref="AA23:AA37" si="10">SUM(X23:Z23)</f>
        <v>-23.5</v>
      </c>
      <c r="AB23" s="18">
        <v>-10</v>
      </c>
      <c r="AC23" s="11">
        <f t="shared" ref="AC23:AC37" si="11">SUM(AA23:AB23)</f>
        <v>-33.5</v>
      </c>
      <c r="AD23" s="14"/>
      <c r="AE23" s="14"/>
    </row>
    <row r="24" spans="1:31" x14ac:dyDescent="0.3">
      <c r="A24">
        <v>3</v>
      </c>
      <c r="B24" t="str">
        <f t="shared" si="6"/>
        <v>Joe McCardel</v>
      </c>
      <c r="C24" s="14">
        <f>+C5-2</f>
        <v>4</v>
      </c>
      <c r="D24" s="14">
        <f>+D5-1</f>
        <v>8</v>
      </c>
      <c r="E24" s="14">
        <f t="shared" ref="E24:K24" si="12">+E5-2</f>
        <v>4</v>
      </c>
      <c r="F24" s="14">
        <f t="shared" si="12"/>
        <v>6</v>
      </c>
      <c r="G24" s="14">
        <f t="shared" si="12"/>
        <v>5</v>
      </c>
      <c r="H24" s="14">
        <f t="shared" si="12"/>
        <v>4</v>
      </c>
      <c r="I24" s="14">
        <f t="shared" si="12"/>
        <v>4</v>
      </c>
      <c r="J24" s="14">
        <f t="shared" si="12"/>
        <v>4</v>
      </c>
      <c r="K24" s="14">
        <f t="shared" si="12"/>
        <v>3</v>
      </c>
      <c r="L24" s="9">
        <f t="shared" si="7"/>
        <v>42</v>
      </c>
      <c r="M24" s="14">
        <f>+M5-2</f>
        <v>3</v>
      </c>
      <c r="N24" s="14">
        <f>+N5-1</f>
        <v>5</v>
      </c>
      <c r="O24" s="14">
        <f t="shared" ref="O24:U24" si="13">+O5-2</f>
        <v>3</v>
      </c>
      <c r="P24" s="14">
        <f t="shared" si="13"/>
        <v>3</v>
      </c>
      <c r="Q24" s="14">
        <f t="shared" si="13"/>
        <v>1</v>
      </c>
      <c r="R24" s="14">
        <f t="shared" si="13"/>
        <v>3</v>
      </c>
      <c r="S24" s="14">
        <f t="shared" si="13"/>
        <v>4</v>
      </c>
      <c r="T24" s="14">
        <f t="shared" si="13"/>
        <v>4</v>
      </c>
      <c r="U24" s="14">
        <f t="shared" si="13"/>
        <v>2</v>
      </c>
      <c r="V24" s="9">
        <f t="shared" si="8"/>
        <v>28</v>
      </c>
      <c r="W24" s="9">
        <f t="shared" si="9"/>
        <v>70</v>
      </c>
      <c r="X24" s="8">
        <f>(0.5*1)-(0.5*13)</f>
        <v>-6</v>
      </c>
      <c r="Y24" s="8">
        <f>(0.5*13)-(0.5*1)</f>
        <v>6</v>
      </c>
      <c r="Z24" s="8">
        <f>(1*9)-(1*5)</f>
        <v>4</v>
      </c>
      <c r="AA24" s="22">
        <f t="shared" si="10"/>
        <v>4</v>
      </c>
      <c r="AB24" s="18">
        <v>5.0999999999999996</v>
      </c>
      <c r="AC24" s="11">
        <f t="shared" si="11"/>
        <v>9.1</v>
      </c>
      <c r="AD24" s="14"/>
      <c r="AE24" s="14"/>
    </row>
    <row r="25" spans="1:31" x14ac:dyDescent="0.3">
      <c r="A25">
        <v>4</v>
      </c>
      <c r="B25" t="str">
        <f t="shared" si="6"/>
        <v>Dave Brauer</v>
      </c>
      <c r="C25" s="14">
        <f>+C6-1</f>
        <v>4</v>
      </c>
      <c r="D25" s="14">
        <f>+D6-1</f>
        <v>4</v>
      </c>
      <c r="E25" s="14">
        <f t="shared" ref="E25:F27" si="14">+E6-1</f>
        <v>5</v>
      </c>
      <c r="F25" s="14">
        <f t="shared" si="14"/>
        <v>6</v>
      </c>
      <c r="G25" s="14">
        <f>+G6-2</f>
        <v>2</v>
      </c>
      <c r="H25" s="14">
        <f>+H6-1</f>
        <v>3</v>
      </c>
      <c r="I25" s="14">
        <f>+I6-2</f>
        <v>4</v>
      </c>
      <c r="J25" s="14">
        <f>+J6-1</f>
        <v>4</v>
      </c>
      <c r="K25" s="14">
        <f>+K6-2</f>
        <v>3</v>
      </c>
      <c r="L25" s="9">
        <f t="shared" si="7"/>
        <v>35</v>
      </c>
      <c r="M25" s="14">
        <f>+M6-1</f>
        <v>5</v>
      </c>
      <c r="N25" s="14">
        <f>+N6-1</f>
        <v>6</v>
      </c>
      <c r="O25" s="14">
        <f>+O6-1</f>
        <v>4</v>
      </c>
      <c r="P25" s="14">
        <f>+P6-1</f>
        <v>5</v>
      </c>
      <c r="Q25" s="14">
        <f>+Q6-2</f>
        <v>1</v>
      </c>
      <c r="R25" s="14">
        <f>+R6-1</f>
        <v>3</v>
      </c>
      <c r="S25" s="14">
        <f>+S6-2</f>
        <v>4</v>
      </c>
      <c r="T25" s="14">
        <f>+T6-1</f>
        <v>4</v>
      </c>
      <c r="U25" s="14">
        <f>+U6-2</f>
        <v>2</v>
      </c>
      <c r="V25" s="9">
        <f t="shared" si="8"/>
        <v>34</v>
      </c>
      <c r="W25" s="9">
        <f t="shared" si="9"/>
        <v>69</v>
      </c>
      <c r="X25" s="8">
        <f>(0.5*9)-(0.5*5)</f>
        <v>2</v>
      </c>
      <c r="Y25" s="8">
        <f>(0.5*9)-(0.5*5)</f>
        <v>2</v>
      </c>
      <c r="Z25" s="8">
        <f>(1*10)-(1*4)</f>
        <v>6</v>
      </c>
      <c r="AA25" s="22">
        <f t="shared" si="10"/>
        <v>10</v>
      </c>
      <c r="AB25" s="18">
        <v>2.2999999999999998</v>
      </c>
      <c r="AC25" s="11">
        <f t="shared" si="11"/>
        <v>12.3</v>
      </c>
      <c r="AD25" s="14"/>
      <c r="AE25" s="14"/>
    </row>
    <row r="26" spans="1:31" x14ac:dyDescent="0.3">
      <c r="A26">
        <v>5</v>
      </c>
      <c r="B26" t="str">
        <f t="shared" si="6"/>
        <v>John Sullivan</v>
      </c>
      <c r="C26" s="14">
        <f>+C7-1</f>
        <v>4</v>
      </c>
      <c r="D26" s="14">
        <f>+D7-1</f>
        <v>3</v>
      </c>
      <c r="E26" s="14">
        <f t="shared" si="14"/>
        <v>4</v>
      </c>
      <c r="F26" s="14">
        <f t="shared" si="14"/>
        <v>4</v>
      </c>
      <c r="G26" s="14">
        <f>+G7-1</f>
        <v>2</v>
      </c>
      <c r="H26" s="14">
        <f>+H7-1</f>
        <v>4</v>
      </c>
      <c r="I26" s="14">
        <f>+I7-1</f>
        <v>4</v>
      </c>
      <c r="J26" s="14">
        <f>+J7-1</f>
        <v>3</v>
      </c>
      <c r="K26" s="14">
        <f>+K7-1</f>
        <v>5</v>
      </c>
      <c r="L26" s="9">
        <f t="shared" si="7"/>
        <v>33</v>
      </c>
      <c r="M26" s="14">
        <f>+M7-1</f>
        <v>6</v>
      </c>
      <c r="N26" s="14">
        <f>+N7</f>
        <v>5</v>
      </c>
      <c r="O26" s="14">
        <f>+O7-1</f>
        <v>5</v>
      </c>
      <c r="P26" s="14">
        <f>+P7-1</f>
        <v>5</v>
      </c>
      <c r="Q26" s="14">
        <f>+Q7-1</f>
        <v>2</v>
      </c>
      <c r="R26" s="14">
        <f>+R7-1</f>
        <v>3</v>
      </c>
      <c r="S26" s="14">
        <f>+S7-1</f>
        <v>5</v>
      </c>
      <c r="T26" s="14">
        <f>+T7-1</f>
        <v>5</v>
      </c>
      <c r="U26" s="14">
        <f>+U7-1</f>
        <v>5</v>
      </c>
      <c r="V26" s="9">
        <f t="shared" si="8"/>
        <v>41</v>
      </c>
      <c r="W26" s="9">
        <f t="shared" si="9"/>
        <v>74</v>
      </c>
      <c r="X26" s="8">
        <f>(0.5*12)-(0.5*2)</f>
        <v>5</v>
      </c>
      <c r="Y26" s="8">
        <f>(0.5*3)-(0.5*10)</f>
        <v>-3.5</v>
      </c>
      <c r="Z26" s="8">
        <f>(1*8)-(1*6)</f>
        <v>2</v>
      </c>
      <c r="AA26" s="22">
        <f t="shared" si="10"/>
        <v>3.5</v>
      </c>
      <c r="AB26" s="18">
        <v>-1.8</v>
      </c>
      <c r="AC26" s="11">
        <f t="shared" si="11"/>
        <v>1.7</v>
      </c>
      <c r="AD26" s="14"/>
      <c r="AE26" s="14"/>
    </row>
    <row r="27" spans="1:31" x14ac:dyDescent="0.3">
      <c r="A27">
        <v>6</v>
      </c>
      <c r="B27" t="str">
        <f t="shared" si="6"/>
        <v>Ralph</v>
      </c>
      <c r="C27" s="14">
        <f>+C8-1</f>
        <v>5</v>
      </c>
      <c r="D27" s="14">
        <f>+D8</f>
        <v>4</v>
      </c>
      <c r="E27" s="14">
        <f t="shared" si="14"/>
        <v>3</v>
      </c>
      <c r="F27" s="14">
        <f t="shared" si="14"/>
        <v>7</v>
      </c>
      <c r="G27" s="14">
        <f>+G8-1</f>
        <v>3</v>
      </c>
      <c r="H27" s="14">
        <f>+H8-1</f>
        <v>4</v>
      </c>
      <c r="I27" s="14">
        <f>+I8-1</f>
        <v>6</v>
      </c>
      <c r="J27" s="14">
        <f>+J8-1</f>
        <v>5</v>
      </c>
      <c r="K27" s="14">
        <f>+K8-1</f>
        <v>4</v>
      </c>
      <c r="L27" s="9">
        <f t="shared" si="7"/>
        <v>41</v>
      </c>
      <c r="M27" s="14">
        <f>+M8-1</f>
        <v>4</v>
      </c>
      <c r="N27" s="14">
        <f>+N8</f>
        <v>4</v>
      </c>
      <c r="O27" s="14">
        <f>+O8</f>
        <v>7</v>
      </c>
      <c r="P27" s="14">
        <f>+P8-1</f>
        <v>7</v>
      </c>
      <c r="Q27" s="14">
        <f>+Q8-1</f>
        <v>3</v>
      </c>
      <c r="R27" s="14">
        <f>+R8-1</f>
        <v>5</v>
      </c>
      <c r="S27" s="14">
        <f>+S8-1</f>
        <v>2</v>
      </c>
      <c r="T27" s="14">
        <f>+T8-1</f>
        <v>5</v>
      </c>
      <c r="U27" s="14">
        <f>+U8-1</f>
        <v>5</v>
      </c>
      <c r="V27" s="9">
        <f t="shared" si="8"/>
        <v>42</v>
      </c>
      <c r="W27" s="9">
        <f t="shared" si="9"/>
        <v>83</v>
      </c>
      <c r="X27" s="8">
        <f>(0.5*2)-(0.5*12)</f>
        <v>-5</v>
      </c>
      <c r="Y27" s="8">
        <f>(0.5*1)-(0.5*12)</f>
        <v>-5.5</v>
      </c>
      <c r="Z27" s="8">
        <f>(1*0)-(1*13)</f>
        <v>-13</v>
      </c>
      <c r="AA27" s="22">
        <f t="shared" si="10"/>
        <v>-23.5</v>
      </c>
      <c r="AB27" s="18">
        <v>-8.6</v>
      </c>
      <c r="AC27" s="11">
        <f t="shared" si="11"/>
        <v>-32.1</v>
      </c>
      <c r="AD27" s="14"/>
      <c r="AE27" s="14"/>
    </row>
    <row r="28" spans="1:31" x14ac:dyDescent="0.3">
      <c r="A28">
        <v>7</v>
      </c>
      <c r="B28" t="str">
        <f t="shared" si="6"/>
        <v>Leo</v>
      </c>
      <c r="C28" s="14">
        <f>+C9-3</f>
        <v>7</v>
      </c>
      <c r="D28" s="14">
        <f t="shared" ref="D28:J28" si="15">+D9-3</f>
        <v>5</v>
      </c>
      <c r="E28" s="14">
        <f t="shared" si="15"/>
        <v>3</v>
      </c>
      <c r="F28" s="14">
        <f t="shared" si="15"/>
        <v>5</v>
      </c>
      <c r="G28" s="14">
        <f>+G9-4</f>
        <v>1</v>
      </c>
      <c r="H28" s="14">
        <f t="shared" si="15"/>
        <v>2</v>
      </c>
      <c r="I28" s="14">
        <f>+I9-4</f>
        <v>4</v>
      </c>
      <c r="J28" s="14">
        <f t="shared" si="15"/>
        <v>4</v>
      </c>
      <c r="K28" s="14">
        <f>+K9-4</f>
        <v>3</v>
      </c>
      <c r="L28" s="9">
        <f t="shared" si="7"/>
        <v>34</v>
      </c>
      <c r="M28" s="14">
        <f t="shared" ref="M28:U28" si="16">+M9-3</f>
        <v>5</v>
      </c>
      <c r="N28" s="14">
        <f t="shared" si="16"/>
        <v>4</v>
      </c>
      <c r="O28" s="14">
        <f t="shared" si="16"/>
        <v>8</v>
      </c>
      <c r="P28" s="14">
        <f t="shared" si="16"/>
        <v>5</v>
      </c>
      <c r="Q28" s="14">
        <f>+Q9-4</f>
        <v>2</v>
      </c>
      <c r="R28" s="14">
        <f t="shared" si="16"/>
        <v>3</v>
      </c>
      <c r="S28" s="14">
        <f>+S9-4</f>
        <v>5</v>
      </c>
      <c r="T28" s="14">
        <f t="shared" si="16"/>
        <v>6</v>
      </c>
      <c r="U28" s="14">
        <f t="shared" si="16"/>
        <v>4</v>
      </c>
      <c r="V28" s="9">
        <f t="shared" si="8"/>
        <v>42</v>
      </c>
      <c r="W28" s="9">
        <f t="shared" si="9"/>
        <v>76</v>
      </c>
      <c r="X28" s="8">
        <f>(0.5*11)-(0.5*3)</f>
        <v>4</v>
      </c>
      <c r="Y28" s="8">
        <f>(0.5*1)-(0.5*12)</f>
        <v>-5.5</v>
      </c>
      <c r="Z28" s="8">
        <f>(1*4)-(1*7)</f>
        <v>-3</v>
      </c>
      <c r="AA28" s="22">
        <f t="shared" si="10"/>
        <v>-4.5</v>
      </c>
      <c r="AB28" s="18">
        <v>-1.4</v>
      </c>
      <c r="AC28" s="11">
        <f t="shared" si="11"/>
        <v>-5.9</v>
      </c>
      <c r="AD28" s="14"/>
      <c r="AE28" s="14"/>
    </row>
    <row r="29" spans="1:31" x14ac:dyDescent="0.3">
      <c r="A29">
        <v>8</v>
      </c>
      <c r="B29" t="str">
        <f t="shared" si="6"/>
        <v>Matt Lawrence</v>
      </c>
      <c r="C29" s="14">
        <f>+C10-1</f>
        <v>5</v>
      </c>
      <c r="D29" s="14">
        <f>+D10</f>
        <v>5</v>
      </c>
      <c r="E29" s="14">
        <f>+E10</f>
        <v>5</v>
      </c>
      <c r="F29" s="14">
        <f t="shared" ref="F29:K29" si="17">+F10-1</f>
        <v>6</v>
      </c>
      <c r="G29" s="14">
        <f t="shared" si="17"/>
        <v>2</v>
      </c>
      <c r="H29" s="14">
        <f t="shared" si="17"/>
        <v>3</v>
      </c>
      <c r="I29" s="14">
        <f t="shared" si="17"/>
        <v>4</v>
      </c>
      <c r="J29" s="14">
        <f>+J10</f>
        <v>4</v>
      </c>
      <c r="K29" s="14">
        <f t="shared" si="17"/>
        <v>4</v>
      </c>
      <c r="L29" s="9">
        <f t="shared" si="7"/>
        <v>38</v>
      </c>
      <c r="M29" s="14">
        <f>+M10</f>
        <v>4</v>
      </c>
      <c r="N29" s="14">
        <f>+N10</f>
        <v>5</v>
      </c>
      <c r="O29" s="14">
        <f>+O10</f>
        <v>5</v>
      </c>
      <c r="P29" s="14">
        <f t="shared" ref="P29:U29" si="18">+P10-1</f>
        <v>5</v>
      </c>
      <c r="Q29" s="14">
        <f t="shared" si="18"/>
        <v>4</v>
      </c>
      <c r="R29" s="14">
        <f t="shared" si="18"/>
        <v>2</v>
      </c>
      <c r="S29" s="14">
        <f t="shared" si="18"/>
        <v>4</v>
      </c>
      <c r="T29" s="14">
        <f>+T10</f>
        <v>6</v>
      </c>
      <c r="U29" s="14">
        <f t="shared" si="18"/>
        <v>3</v>
      </c>
      <c r="V29" s="9">
        <f t="shared" si="8"/>
        <v>38</v>
      </c>
      <c r="W29" s="9">
        <f t="shared" si="9"/>
        <v>76</v>
      </c>
      <c r="X29" s="8">
        <f>(0.5*5)-(0.5*9)</f>
        <v>-2</v>
      </c>
      <c r="Y29" s="8">
        <f>(0.5*6)-(0.5*8)</f>
        <v>-1</v>
      </c>
      <c r="Z29" s="8">
        <f>(1*4)-(1*7)</f>
        <v>-3</v>
      </c>
      <c r="AA29" s="22">
        <f t="shared" si="10"/>
        <v>-6</v>
      </c>
      <c r="AB29" s="18">
        <v>-8</v>
      </c>
      <c r="AC29" s="11">
        <f t="shared" si="11"/>
        <v>-14</v>
      </c>
      <c r="AD29" s="14"/>
      <c r="AE29" s="14"/>
    </row>
    <row r="30" spans="1:31" x14ac:dyDescent="0.3">
      <c r="B30" t="str">
        <f t="shared" si="6"/>
        <v>Matt Brauer</v>
      </c>
      <c r="C30" s="14"/>
      <c r="D30" s="14"/>
      <c r="E30" s="14"/>
      <c r="F30" s="14"/>
      <c r="G30" s="14"/>
      <c r="H30" s="14"/>
      <c r="I30" s="14"/>
      <c r="J30" s="14"/>
      <c r="K30" s="14"/>
      <c r="L30" s="9"/>
      <c r="M30" s="14"/>
      <c r="N30" s="14"/>
      <c r="O30" s="14"/>
      <c r="P30" s="14"/>
      <c r="Q30" s="14"/>
      <c r="R30" s="14"/>
      <c r="S30" s="14"/>
      <c r="T30" s="14"/>
      <c r="U30" s="14"/>
      <c r="V30" s="9"/>
      <c r="W30" s="9"/>
      <c r="X30" s="8"/>
      <c r="Y30" s="8"/>
      <c r="Z30" s="8"/>
      <c r="AA30" s="22"/>
      <c r="AB30" s="18"/>
      <c r="AC30" s="11"/>
      <c r="AD30" s="14"/>
      <c r="AE30" s="14"/>
    </row>
    <row r="31" spans="1:31" x14ac:dyDescent="0.3">
      <c r="A31">
        <v>9</v>
      </c>
      <c r="B31" t="str">
        <f t="shared" si="6"/>
        <v>Jerry Flynn</v>
      </c>
      <c r="C31" s="14">
        <f>+C12-1</f>
        <v>5</v>
      </c>
      <c r="D31" s="14">
        <f t="shared" ref="D31:K31" si="19">+D12-1</f>
        <v>3</v>
      </c>
      <c r="E31" s="14">
        <f t="shared" si="19"/>
        <v>5</v>
      </c>
      <c r="F31" s="14">
        <f t="shared" si="19"/>
        <v>6</v>
      </c>
      <c r="G31" s="14">
        <f>+G12-2</f>
        <v>1</v>
      </c>
      <c r="H31" s="14">
        <f t="shared" si="19"/>
        <v>3</v>
      </c>
      <c r="I31" s="14">
        <f>+I12-2</f>
        <v>4</v>
      </c>
      <c r="J31" s="14">
        <f t="shared" si="19"/>
        <v>4</v>
      </c>
      <c r="K31" s="14">
        <f t="shared" si="19"/>
        <v>3</v>
      </c>
      <c r="L31" s="9">
        <f t="shared" ref="L31:L37" si="20">SUM(C31:K31)</f>
        <v>34</v>
      </c>
      <c r="M31" s="14">
        <f t="shared" ref="M31:U31" si="21">+M12-1</f>
        <v>3</v>
      </c>
      <c r="N31" s="14">
        <f t="shared" si="21"/>
        <v>4</v>
      </c>
      <c r="O31" s="14">
        <f t="shared" si="21"/>
        <v>4</v>
      </c>
      <c r="P31" s="14">
        <f t="shared" si="21"/>
        <v>5</v>
      </c>
      <c r="Q31" s="14">
        <f>+Q12-2</f>
        <v>1</v>
      </c>
      <c r="R31" s="14">
        <f t="shared" si="21"/>
        <v>2</v>
      </c>
      <c r="S31" s="14">
        <f>+S12-2</f>
        <v>4</v>
      </c>
      <c r="T31" s="14">
        <f t="shared" si="21"/>
        <v>4</v>
      </c>
      <c r="U31" s="14">
        <f t="shared" si="21"/>
        <v>5</v>
      </c>
      <c r="V31" s="9">
        <f t="shared" si="8"/>
        <v>32</v>
      </c>
      <c r="W31" s="9">
        <f t="shared" si="9"/>
        <v>66</v>
      </c>
      <c r="X31" s="8">
        <f>(0.5*10)-(0.5*3)</f>
        <v>3.5</v>
      </c>
      <c r="Y31" s="8">
        <f>(0.5*10)-(0.5*2)</f>
        <v>4</v>
      </c>
      <c r="Z31" s="8">
        <f>(1*13)-(1*1)</f>
        <v>12</v>
      </c>
      <c r="AA31" s="22">
        <f t="shared" si="10"/>
        <v>19.5</v>
      </c>
      <c r="AB31" s="18">
        <v>9.1</v>
      </c>
      <c r="AC31" s="11">
        <f t="shared" si="11"/>
        <v>28.6</v>
      </c>
      <c r="AD31" s="14"/>
      <c r="AE31" s="14"/>
    </row>
    <row r="32" spans="1:31" x14ac:dyDescent="0.3">
      <c r="A32">
        <v>10</v>
      </c>
      <c r="B32" t="str">
        <f t="shared" si="6"/>
        <v>Mike Flynn</v>
      </c>
      <c r="C32" s="14">
        <f>+C13-1</f>
        <v>4</v>
      </c>
      <c r="D32" s="14">
        <f t="shared" ref="D32:K32" si="22">+D13-1</f>
        <v>3</v>
      </c>
      <c r="E32" s="14">
        <f t="shared" si="22"/>
        <v>4</v>
      </c>
      <c r="F32" s="14">
        <f t="shared" si="22"/>
        <v>4</v>
      </c>
      <c r="G32" s="14">
        <f t="shared" si="22"/>
        <v>2</v>
      </c>
      <c r="H32" s="14">
        <f t="shared" si="22"/>
        <v>3</v>
      </c>
      <c r="I32" s="14">
        <f>+I13-2</f>
        <v>3</v>
      </c>
      <c r="J32" s="14">
        <f t="shared" si="22"/>
        <v>3</v>
      </c>
      <c r="K32" s="14">
        <f t="shared" si="22"/>
        <v>4</v>
      </c>
      <c r="L32" s="9">
        <f t="shared" si="20"/>
        <v>30</v>
      </c>
      <c r="M32" s="14">
        <f t="shared" ref="M32:U32" si="23">+M13-1</f>
        <v>5</v>
      </c>
      <c r="N32" s="14">
        <f t="shared" si="23"/>
        <v>4</v>
      </c>
      <c r="O32" s="14">
        <f t="shared" si="23"/>
        <v>4</v>
      </c>
      <c r="P32" s="14">
        <f t="shared" si="23"/>
        <v>5</v>
      </c>
      <c r="Q32" s="14">
        <f t="shared" si="23"/>
        <v>2</v>
      </c>
      <c r="R32" s="14">
        <f t="shared" si="23"/>
        <v>4</v>
      </c>
      <c r="S32" s="14">
        <f t="shared" si="23"/>
        <v>3</v>
      </c>
      <c r="T32" s="14">
        <f t="shared" si="23"/>
        <v>4</v>
      </c>
      <c r="U32" s="14">
        <f t="shared" si="23"/>
        <v>5</v>
      </c>
      <c r="V32" s="9">
        <f t="shared" si="8"/>
        <v>36</v>
      </c>
      <c r="W32" s="9">
        <f t="shared" si="9"/>
        <v>66</v>
      </c>
      <c r="X32" s="8">
        <v>7</v>
      </c>
      <c r="Y32" s="8">
        <f>(0.5*8)-(0.5*6)</f>
        <v>1</v>
      </c>
      <c r="Z32" s="8">
        <f>(1*13)-(1*1)</f>
        <v>12</v>
      </c>
      <c r="AA32" s="22">
        <f t="shared" si="10"/>
        <v>20</v>
      </c>
      <c r="AB32" s="18">
        <v>7.3</v>
      </c>
      <c r="AC32" s="11">
        <f t="shared" si="11"/>
        <v>27.3</v>
      </c>
      <c r="AD32" s="14"/>
      <c r="AE32" s="14"/>
    </row>
    <row r="33" spans="1:31" x14ac:dyDescent="0.3">
      <c r="A33">
        <v>11</v>
      </c>
      <c r="B33" t="str">
        <f t="shared" si="6"/>
        <v>Kevin Fitzgerald</v>
      </c>
      <c r="C33" s="14">
        <f>+C14-2</f>
        <v>5</v>
      </c>
      <c r="D33" s="14">
        <f t="shared" ref="D33:K33" si="24">+D14-2</f>
        <v>4</v>
      </c>
      <c r="E33" s="14">
        <f t="shared" si="24"/>
        <v>4</v>
      </c>
      <c r="F33" s="14">
        <f t="shared" si="24"/>
        <v>4</v>
      </c>
      <c r="G33" s="14">
        <f>+G14-3</f>
        <v>1</v>
      </c>
      <c r="H33" s="14">
        <f t="shared" si="24"/>
        <v>4</v>
      </c>
      <c r="I33" s="14">
        <f>+I14-3</f>
        <v>5</v>
      </c>
      <c r="J33" s="14">
        <f t="shared" si="24"/>
        <v>2</v>
      </c>
      <c r="K33" s="14">
        <f t="shared" si="24"/>
        <v>3</v>
      </c>
      <c r="L33" s="9">
        <f t="shared" si="20"/>
        <v>32</v>
      </c>
      <c r="M33" s="14">
        <f t="shared" ref="M33:U33" si="25">+M14-2</f>
        <v>4</v>
      </c>
      <c r="N33" s="14">
        <f t="shared" si="25"/>
        <v>3</v>
      </c>
      <c r="O33" s="14">
        <f t="shared" si="25"/>
        <v>3</v>
      </c>
      <c r="P33" s="14">
        <f t="shared" si="25"/>
        <v>5</v>
      </c>
      <c r="Q33" s="14">
        <f>+Q14-3</f>
        <v>1</v>
      </c>
      <c r="R33" s="14">
        <f t="shared" si="25"/>
        <v>3</v>
      </c>
      <c r="S33" s="14">
        <f>+S14-3</f>
        <v>1</v>
      </c>
      <c r="T33" s="14">
        <f t="shared" si="25"/>
        <v>3</v>
      </c>
      <c r="U33" s="14">
        <f t="shared" si="25"/>
        <v>4</v>
      </c>
      <c r="V33" s="9">
        <f t="shared" si="8"/>
        <v>27</v>
      </c>
      <c r="W33" s="9">
        <f t="shared" si="9"/>
        <v>59</v>
      </c>
      <c r="X33" s="8">
        <f>(0.5*13)-(0.5*1)</f>
        <v>6</v>
      </c>
      <c r="Y33" s="8">
        <v>7</v>
      </c>
      <c r="Z33" s="8">
        <v>14</v>
      </c>
      <c r="AA33" s="22">
        <f t="shared" si="10"/>
        <v>27</v>
      </c>
      <c r="AB33" s="18">
        <v>12.4</v>
      </c>
      <c r="AC33" s="11">
        <f t="shared" si="11"/>
        <v>39.4</v>
      </c>
      <c r="AD33" s="14"/>
      <c r="AE33" s="14"/>
    </row>
    <row r="34" spans="1:31" x14ac:dyDescent="0.3">
      <c r="A34">
        <v>12</v>
      </c>
      <c r="B34" t="str">
        <f t="shared" si="6"/>
        <v>Richard McGovern</v>
      </c>
      <c r="C34" s="14">
        <f>+C15-1</f>
        <v>6</v>
      </c>
      <c r="D34" s="14">
        <f>+D15-1</f>
        <v>4</v>
      </c>
      <c r="E34" s="14">
        <f>+E15-1</f>
        <v>6</v>
      </c>
      <c r="F34" s="14">
        <f>+F15-2</f>
        <v>5</v>
      </c>
      <c r="G34" s="14">
        <f>+G15-2</f>
        <v>3</v>
      </c>
      <c r="H34" s="14">
        <f>+H15-1</f>
        <v>4</v>
      </c>
      <c r="I34" s="14">
        <f>+I15-2</f>
        <v>4</v>
      </c>
      <c r="J34" s="14">
        <f>+J15-1</f>
        <v>5</v>
      </c>
      <c r="K34" s="14">
        <f>+K15-2</f>
        <v>3</v>
      </c>
      <c r="L34" s="9">
        <f t="shared" si="20"/>
        <v>40</v>
      </c>
      <c r="M34" s="14">
        <f>+M15-1</f>
        <v>5</v>
      </c>
      <c r="N34" s="14">
        <f>+N15-1</f>
        <v>6</v>
      </c>
      <c r="O34" s="14">
        <f>+O15-1</f>
        <v>4</v>
      </c>
      <c r="P34" s="14">
        <f>+P15-1</f>
        <v>5</v>
      </c>
      <c r="Q34" s="14">
        <f>+Q15-2</f>
        <v>2</v>
      </c>
      <c r="R34" s="14">
        <f>+R15-1</f>
        <v>4</v>
      </c>
      <c r="S34" s="14">
        <f>+S15-2</f>
        <v>4</v>
      </c>
      <c r="T34" s="14">
        <f>+T15-1</f>
        <v>4</v>
      </c>
      <c r="U34" s="14">
        <f>+U15-2</f>
        <v>3</v>
      </c>
      <c r="V34" s="9">
        <f t="shared" si="8"/>
        <v>37</v>
      </c>
      <c r="W34" s="14">
        <f t="shared" si="9"/>
        <v>77</v>
      </c>
      <c r="X34" s="8">
        <f>(0.5*3)-(0.5*11)</f>
        <v>-4</v>
      </c>
      <c r="Y34" s="8">
        <f>(0.5*7)-(0.5*7)</f>
        <v>0</v>
      </c>
      <c r="Z34" s="18">
        <v>-10</v>
      </c>
      <c r="AA34" s="22">
        <f t="shared" si="10"/>
        <v>-14</v>
      </c>
      <c r="AB34" s="18">
        <v>-7.9</v>
      </c>
      <c r="AC34" s="11">
        <f t="shared" si="11"/>
        <v>-21.9</v>
      </c>
      <c r="AD34" s="14"/>
      <c r="AE34" s="14"/>
    </row>
    <row r="35" spans="1:31" x14ac:dyDescent="0.3">
      <c r="A35">
        <v>13</v>
      </c>
      <c r="B35" t="str">
        <f t="shared" si="6"/>
        <v>Richie Payne</v>
      </c>
      <c r="C35" s="14">
        <f>+C16-2</f>
        <v>4</v>
      </c>
      <c r="D35" s="14">
        <f>+D16-1</f>
        <v>6</v>
      </c>
      <c r="E35" s="14">
        <f>+E16-1</f>
        <v>4</v>
      </c>
      <c r="F35" s="14">
        <f>+F16-2</f>
        <v>4</v>
      </c>
      <c r="G35" s="14">
        <f>+G16-2</f>
        <v>6</v>
      </c>
      <c r="H35" s="14">
        <f>+H16-2</f>
        <v>4</v>
      </c>
      <c r="I35" s="14">
        <f>+I16-2</f>
        <v>4</v>
      </c>
      <c r="J35" s="14">
        <f>+J16-2</f>
        <v>3</v>
      </c>
      <c r="K35" s="14">
        <f>+K16-2</f>
        <v>2</v>
      </c>
      <c r="L35" s="9">
        <f t="shared" si="20"/>
        <v>37</v>
      </c>
      <c r="M35" s="14">
        <f>+M16-2</f>
        <v>2</v>
      </c>
      <c r="N35" s="14">
        <f>+N16-1</f>
        <v>4</v>
      </c>
      <c r="O35" s="14">
        <f>+O16-1</f>
        <v>5</v>
      </c>
      <c r="P35" s="14">
        <f>+P16-2</f>
        <v>5</v>
      </c>
      <c r="Q35" s="14">
        <f>+Q16-2</f>
        <v>3</v>
      </c>
      <c r="R35" s="14">
        <f>+R16-2</f>
        <v>5</v>
      </c>
      <c r="S35" s="14">
        <f>+S16-2</f>
        <v>7</v>
      </c>
      <c r="T35" s="14">
        <f>+T16-1</f>
        <v>4</v>
      </c>
      <c r="U35" s="14">
        <f>+U16-2</f>
        <v>4</v>
      </c>
      <c r="V35" s="9">
        <f t="shared" si="8"/>
        <v>39</v>
      </c>
      <c r="W35" s="9">
        <f t="shared" si="9"/>
        <v>76</v>
      </c>
      <c r="X35" s="8">
        <f>(0.5*6)-(0.5*8)</f>
        <v>-1</v>
      </c>
      <c r="Y35" s="8">
        <f>(0.5*5)-(0.5*9)</f>
        <v>-2</v>
      </c>
      <c r="Z35" s="8">
        <f>(1*4)-(1*7)</f>
        <v>-3</v>
      </c>
      <c r="AA35" s="22">
        <f t="shared" si="10"/>
        <v>-6</v>
      </c>
      <c r="AB35" s="18">
        <v>0.1</v>
      </c>
      <c r="AC35" s="11">
        <f t="shared" si="11"/>
        <v>-5.9</v>
      </c>
      <c r="AD35" s="14"/>
      <c r="AE35" s="14"/>
    </row>
    <row r="36" spans="1:31" x14ac:dyDescent="0.3">
      <c r="A36">
        <v>14</v>
      </c>
      <c r="B36" t="str">
        <f t="shared" si="6"/>
        <v>Ed Cox</v>
      </c>
      <c r="C36" s="14">
        <f>+C17-3</f>
        <v>6</v>
      </c>
      <c r="D36" s="14">
        <f>+D17-2</f>
        <v>5</v>
      </c>
      <c r="E36" s="14">
        <f>+E17-2</f>
        <v>7</v>
      </c>
      <c r="F36" s="14">
        <f t="shared" ref="F36:K36" si="26">+F17-3</f>
        <v>6</v>
      </c>
      <c r="G36" s="14">
        <f t="shared" si="26"/>
        <v>2</v>
      </c>
      <c r="H36" s="14">
        <f>+H17-2</f>
        <v>4</v>
      </c>
      <c r="I36" s="14">
        <f t="shared" si="26"/>
        <v>3</v>
      </c>
      <c r="J36" s="14">
        <f>+J17-2</f>
        <v>6</v>
      </c>
      <c r="K36" s="14">
        <f t="shared" si="26"/>
        <v>5</v>
      </c>
      <c r="L36" s="9">
        <f t="shared" si="20"/>
        <v>44</v>
      </c>
      <c r="M36" s="14">
        <f>+M17-2</f>
        <v>4</v>
      </c>
      <c r="N36" s="14">
        <f>+N17-2</f>
        <v>5</v>
      </c>
      <c r="O36" s="14">
        <f>+O17-2</f>
        <v>4</v>
      </c>
      <c r="P36" s="14">
        <f t="shared" ref="P36:U36" si="27">+P17-3</f>
        <v>4</v>
      </c>
      <c r="Q36" s="14">
        <f t="shared" si="27"/>
        <v>1</v>
      </c>
      <c r="R36" s="14">
        <f>+R17-3</f>
        <v>1</v>
      </c>
      <c r="S36" s="14">
        <f t="shared" si="27"/>
        <v>3</v>
      </c>
      <c r="T36" s="14">
        <f>+T17-2</f>
        <v>5</v>
      </c>
      <c r="U36" s="14">
        <f t="shared" si="27"/>
        <v>5</v>
      </c>
      <c r="V36" s="9">
        <f t="shared" si="8"/>
        <v>32</v>
      </c>
      <c r="W36" s="9">
        <f t="shared" si="9"/>
        <v>76</v>
      </c>
      <c r="X36" s="8">
        <v>-7</v>
      </c>
      <c r="Y36" s="8">
        <f>(0.5*10)-(0.5*2)</f>
        <v>4</v>
      </c>
      <c r="Z36" s="8">
        <f>(1*4)-(1*7)</f>
        <v>-3</v>
      </c>
      <c r="AA36" s="22">
        <f t="shared" si="10"/>
        <v>-6</v>
      </c>
      <c r="AB36" s="18">
        <v>-0.4</v>
      </c>
      <c r="AC36" s="11">
        <f t="shared" si="11"/>
        <v>-6.4</v>
      </c>
      <c r="AD36" s="14"/>
      <c r="AE36" s="14"/>
    </row>
    <row r="37" spans="1:31" x14ac:dyDescent="0.3">
      <c r="A37">
        <v>15</v>
      </c>
      <c r="B37" t="str">
        <f t="shared" si="6"/>
        <v>Jack Sullivan</v>
      </c>
      <c r="C37" s="14">
        <f>+C18-1</f>
        <v>5</v>
      </c>
      <c r="D37" s="14">
        <f t="shared" ref="D37:J37" si="28">+D18-1</f>
        <v>5</v>
      </c>
      <c r="E37" s="14">
        <f t="shared" si="28"/>
        <v>5</v>
      </c>
      <c r="F37" s="14">
        <f>+F18-2</f>
        <v>4</v>
      </c>
      <c r="G37" s="14">
        <f>+G18-2</f>
        <v>1</v>
      </c>
      <c r="H37" s="14">
        <f>+H18-2</f>
        <v>5</v>
      </c>
      <c r="I37" s="14">
        <f>+I18-2</f>
        <v>4</v>
      </c>
      <c r="J37" s="14">
        <f t="shared" si="28"/>
        <v>3</v>
      </c>
      <c r="K37" s="14">
        <f>+K18-2</f>
        <v>4</v>
      </c>
      <c r="L37" s="9">
        <f t="shared" si="20"/>
        <v>36</v>
      </c>
      <c r="M37" s="14">
        <f t="shared" ref="M37:T37" si="29">+M18-1</f>
        <v>5</v>
      </c>
      <c r="N37" s="14">
        <f t="shared" si="29"/>
        <v>7</v>
      </c>
      <c r="O37" s="14">
        <f t="shared" si="29"/>
        <v>7</v>
      </c>
      <c r="P37" s="14">
        <f>+P18-2</f>
        <v>4</v>
      </c>
      <c r="Q37" s="14">
        <f>+Q18-2</f>
        <v>3</v>
      </c>
      <c r="R37" s="14">
        <f>+R18-2</f>
        <v>4</v>
      </c>
      <c r="S37" s="14">
        <f>+S18-2</f>
        <v>4</v>
      </c>
      <c r="T37" s="14">
        <f t="shared" si="29"/>
        <v>4</v>
      </c>
      <c r="U37" s="14">
        <f>+U18-2</f>
        <v>3</v>
      </c>
      <c r="V37" s="9">
        <f t="shared" si="8"/>
        <v>41</v>
      </c>
      <c r="W37" s="14">
        <f t="shared" si="9"/>
        <v>77</v>
      </c>
      <c r="X37" s="8">
        <f>(0.5*7)-(0.5*6)</f>
        <v>0.5</v>
      </c>
      <c r="Y37" s="8">
        <f>(0.5*3)-(0.5*10)</f>
        <v>-3.5</v>
      </c>
      <c r="Z37" s="18">
        <v>-10</v>
      </c>
      <c r="AA37" s="22">
        <f t="shared" si="10"/>
        <v>-13</v>
      </c>
      <c r="AB37" s="18">
        <v>-2.7</v>
      </c>
      <c r="AC37" s="11">
        <f t="shared" si="11"/>
        <v>-15.7</v>
      </c>
      <c r="AD37" s="14"/>
      <c r="AE37" s="14"/>
    </row>
    <row r="38" spans="1:31" x14ac:dyDescent="0.3">
      <c r="B38" s="1" t="s">
        <v>19</v>
      </c>
      <c r="L38" s="6"/>
      <c r="V38" s="6"/>
      <c r="W38" s="6"/>
      <c r="X38" s="4">
        <f t="shared" ref="X38:AC38" si="30">SUM(X22:X37)</f>
        <v>0</v>
      </c>
      <c r="Y38" s="4">
        <f t="shared" si="30"/>
        <v>0</v>
      </c>
      <c r="Z38" s="4">
        <f t="shared" si="30"/>
        <v>0</v>
      </c>
      <c r="AA38" s="4">
        <f t="shared" si="30"/>
        <v>0</v>
      </c>
      <c r="AB38" s="4">
        <f t="shared" si="30"/>
        <v>0</v>
      </c>
      <c r="AC38" s="4">
        <f t="shared" si="30"/>
        <v>0</v>
      </c>
    </row>
    <row r="39" spans="1:31" x14ac:dyDescent="0.3">
      <c r="B39" t="str">
        <f t="shared" ref="B39:B54" si="31">+B22</f>
        <v>Colin Sullivan</v>
      </c>
      <c r="C39">
        <v>4</v>
      </c>
      <c r="D39">
        <v>10</v>
      </c>
      <c r="E39">
        <v>0</v>
      </c>
      <c r="F39">
        <v>1</v>
      </c>
      <c r="G39">
        <v>9</v>
      </c>
      <c r="H39">
        <v>5</v>
      </c>
      <c r="I39">
        <v>2</v>
      </c>
      <c r="J39">
        <v>6</v>
      </c>
      <c r="K39">
        <v>2</v>
      </c>
      <c r="L39" s="6"/>
      <c r="M39">
        <v>11</v>
      </c>
      <c r="N39">
        <v>6</v>
      </c>
      <c r="O39">
        <v>1</v>
      </c>
      <c r="P39">
        <v>2</v>
      </c>
      <c r="Q39">
        <v>8</v>
      </c>
      <c r="R39">
        <v>8</v>
      </c>
      <c r="S39">
        <v>2</v>
      </c>
      <c r="T39">
        <v>9</v>
      </c>
      <c r="U39">
        <v>2</v>
      </c>
      <c r="V39" s="6"/>
      <c r="W39" s="6"/>
    </row>
    <row r="40" spans="1:31" x14ac:dyDescent="0.3">
      <c r="B40" t="str">
        <f t="shared" si="31"/>
        <v>Bernie Sullivan</v>
      </c>
      <c r="C40">
        <v>14</v>
      </c>
      <c r="D40">
        <v>6</v>
      </c>
      <c r="E40">
        <v>6</v>
      </c>
      <c r="F40">
        <v>0</v>
      </c>
      <c r="G40">
        <v>9</v>
      </c>
      <c r="H40">
        <v>1</v>
      </c>
      <c r="I40">
        <v>2</v>
      </c>
      <c r="J40">
        <v>6</v>
      </c>
      <c r="K40">
        <v>0</v>
      </c>
      <c r="L40" s="6"/>
      <c r="M40">
        <v>6</v>
      </c>
      <c r="N40">
        <v>1</v>
      </c>
      <c r="O40">
        <v>10</v>
      </c>
      <c r="P40">
        <v>2</v>
      </c>
      <c r="Q40">
        <v>8</v>
      </c>
      <c r="R40">
        <v>2</v>
      </c>
      <c r="S40">
        <v>0</v>
      </c>
      <c r="T40">
        <v>4</v>
      </c>
      <c r="U40">
        <v>4</v>
      </c>
      <c r="V40" s="6"/>
      <c r="W40" s="6"/>
    </row>
    <row r="41" spans="1:31" x14ac:dyDescent="0.3">
      <c r="B41" t="str">
        <f t="shared" si="31"/>
        <v>Joe McCardel</v>
      </c>
      <c r="C41">
        <v>8</v>
      </c>
      <c r="D41">
        <v>0</v>
      </c>
      <c r="E41">
        <v>2</v>
      </c>
      <c r="F41">
        <v>1</v>
      </c>
      <c r="G41">
        <v>0</v>
      </c>
      <c r="H41">
        <f>+H39</f>
        <v>5</v>
      </c>
      <c r="I41">
        <v>2</v>
      </c>
      <c r="J41">
        <v>1</v>
      </c>
      <c r="K41">
        <v>10</v>
      </c>
      <c r="L41" s="6"/>
      <c r="M41">
        <v>1</v>
      </c>
      <c r="N41">
        <v>1</v>
      </c>
      <c r="O41">
        <v>0</v>
      </c>
      <c r="P41">
        <v>2</v>
      </c>
      <c r="Q41">
        <v>0</v>
      </c>
      <c r="R41">
        <v>4</v>
      </c>
      <c r="S41">
        <v>2</v>
      </c>
      <c r="T41">
        <v>4</v>
      </c>
      <c r="U41">
        <v>2</v>
      </c>
      <c r="V41" s="6"/>
      <c r="W41" s="6"/>
    </row>
    <row r="42" spans="1:31" x14ac:dyDescent="0.3">
      <c r="B42" t="str">
        <f t="shared" si="31"/>
        <v>Dave Brauer</v>
      </c>
      <c r="C42">
        <v>8</v>
      </c>
      <c r="D42">
        <v>6</v>
      </c>
      <c r="E42">
        <v>2</v>
      </c>
      <c r="F42">
        <v>1</v>
      </c>
      <c r="G42">
        <v>3</v>
      </c>
      <c r="H42">
        <v>2</v>
      </c>
      <c r="I42">
        <v>9</v>
      </c>
      <c r="J42">
        <v>1</v>
      </c>
      <c r="K42">
        <v>2</v>
      </c>
      <c r="L42" s="6"/>
      <c r="M42">
        <f>+M40</f>
        <v>6</v>
      </c>
      <c r="N42">
        <v>6</v>
      </c>
      <c r="O42">
        <v>6</v>
      </c>
      <c r="P42">
        <v>0</v>
      </c>
      <c r="Q42">
        <v>2</v>
      </c>
      <c r="R42">
        <v>4</v>
      </c>
      <c r="S42">
        <v>11</v>
      </c>
      <c r="T42">
        <v>9</v>
      </c>
      <c r="U42">
        <v>4</v>
      </c>
      <c r="V42" s="6"/>
      <c r="W42" s="6"/>
    </row>
    <row r="43" spans="1:31" x14ac:dyDescent="0.3">
      <c r="B43" t="str">
        <f t="shared" si="31"/>
        <v>John Sullivan</v>
      </c>
      <c r="C43">
        <v>8</v>
      </c>
      <c r="D43" s="7">
        <v>10</v>
      </c>
      <c r="E43">
        <v>6</v>
      </c>
      <c r="F43">
        <v>10</v>
      </c>
      <c r="G43">
        <v>9</v>
      </c>
      <c r="H43">
        <v>0</v>
      </c>
      <c r="I43">
        <v>2</v>
      </c>
      <c r="J43">
        <v>6</v>
      </c>
      <c r="K43">
        <v>10</v>
      </c>
      <c r="L43" s="6"/>
      <c r="M43">
        <f>+M41</f>
        <v>1</v>
      </c>
      <c r="N43">
        <v>11</v>
      </c>
      <c r="O43">
        <v>6</v>
      </c>
      <c r="P43">
        <v>2</v>
      </c>
      <c r="Q43">
        <v>2</v>
      </c>
      <c r="R43">
        <v>4</v>
      </c>
      <c r="S43">
        <v>10</v>
      </c>
      <c r="T43">
        <v>4</v>
      </c>
      <c r="U43">
        <v>4</v>
      </c>
      <c r="V43" s="6"/>
      <c r="W43" s="6"/>
    </row>
    <row r="44" spans="1:31" x14ac:dyDescent="0.3">
      <c r="B44" t="str">
        <f t="shared" si="31"/>
        <v>Ralph</v>
      </c>
      <c r="C44">
        <v>8</v>
      </c>
      <c r="D44">
        <v>4</v>
      </c>
      <c r="E44">
        <v>2</v>
      </c>
      <c r="F44">
        <v>10</v>
      </c>
      <c r="G44">
        <v>3</v>
      </c>
      <c r="H44">
        <f>+H41</f>
        <v>5</v>
      </c>
      <c r="I44">
        <v>0</v>
      </c>
      <c r="J44">
        <v>6</v>
      </c>
      <c r="K44">
        <v>2</v>
      </c>
      <c r="L44" s="6"/>
      <c r="M44">
        <f>+M42</f>
        <v>6</v>
      </c>
      <c r="N44">
        <v>0</v>
      </c>
      <c r="O44">
        <v>1</v>
      </c>
      <c r="P44">
        <v>2</v>
      </c>
      <c r="Q44">
        <v>2</v>
      </c>
      <c r="R44">
        <v>0</v>
      </c>
      <c r="S44">
        <v>0</v>
      </c>
      <c r="T44">
        <v>4</v>
      </c>
      <c r="U44">
        <v>1</v>
      </c>
      <c r="V44" s="6"/>
      <c r="W44" s="6"/>
    </row>
    <row r="45" spans="1:31" x14ac:dyDescent="0.3">
      <c r="B45" t="str">
        <f t="shared" si="31"/>
        <v>Leo</v>
      </c>
      <c r="C45">
        <v>15</v>
      </c>
      <c r="D45">
        <v>1</v>
      </c>
      <c r="E45">
        <v>6</v>
      </c>
      <c r="F45">
        <v>5</v>
      </c>
      <c r="G45">
        <v>1</v>
      </c>
      <c r="H45">
        <v>11</v>
      </c>
      <c r="I45">
        <v>0</v>
      </c>
      <c r="J45">
        <v>1</v>
      </c>
      <c r="K45">
        <v>2</v>
      </c>
      <c r="L45" s="6"/>
      <c r="M45">
        <v>1</v>
      </c>
      <c r="N45">
        <v>6</v>
      </c>
      <c r="O45">
        <v>1</v>
      </c>
      <c r="P45">
        <v>2</v>
      </c>
      <c r="Q45">
        <v>2</v>
      </c>
      <c r="R45">
        <v>8</v>
      </c>
      <c r="S45">
        <f>+S39</f>
        <v>2</v>
      </c>
      <c r="T45">
        <v>1</v>
      </c>
      <c r="U45">
        <v>11</v>
      </c>
      <c r="V45" s="6"/>
      <c r="W45" s="6"/>
    </row>
    <row r="46" spans="1:31" x14ac:dyDescent="0.3">
      <c r="B46" t="str">
        <f t="shared" si="31"/>
        <v>Matt Lawrence</v>
      </c>
      <c r="C46">
        <f>+C44</f>
        <v>8</v>
      </c>
      <c r="D46">
        <v>6</v>
      </c>
      <c r="E46">
        <v>6</v>
      </c>
      <c r="F46">
        <v>5</v>
      </c>
      <c r="G46">
        <v>2</v>
      </c>
      <c r="H46">
        <v>2</v>
      </c>
      <c r="I46">
        <v>9</v>
      </c>
      <c r="J46">
        <v>1</v>
      </c>
      <c r="K46">
        <v>2</v>
      </c>
      <c r="L46" s="6"/>
      <c r="M46">
        <f>+M44</f>
        <v>6</v>
      </c>
      <c r="N46">
        <v>6</v>
      </c>
      <c r="O46">
        <v>6</v>
      </c>
      <c r="P46">
        <v>2</v>
      </c>
      <c r="Q46">
        <v>0</v>
      </c>
      <c r="R46">
        <v>8</v>
      </c>
      <c r="S46">
        <v>2</v>
      </c>
      <c r="T46">
        <v>4</v>
      </c>
      <c r="U46">
        <v>4</v>
      </c>
      <c r="V46" s="6"/>
      <c r="W46" s="6"/>
    </row>
    <row r="47" spans="1:31" x14ac:dyDescent="0.3">
      <c r="B47" t="str">
        <f t="shared" si="31"/>
        <v>Matt Brauer</v>
      </c>
      <c r="C47">
        <f>+C45</f>
        <v>15</v>
      </c>
      <c r="D47">
        <v>6</v>
      </c>
      <c r="E47">
        <v>6</v>
      </c>
      <c r="F47">
        <v>5</v>
      </c>
      <c r="G47">
        <v>2</v>
      </c>
      <c r="H47">
        <v>2</v>
      </c>
      <c r="I47">
        <v>9</v>
      </c>
      <c r="J47">
        <v>1</v>
      </c>
      <c r="K47">
        <v>2</v>
      </c>
      <c r="L47" s="6"/>
      <c r="M47">
        <f>+M45</f>
        <v>1</v>
      </c>
      <c r="N47">
        <v>6</v>
      </c>
      <c r="O47">
        <v>6</v>
      </c>
      <c r="P47">
        <v>2</v>
      </c>
      <c r="Q47">
        <v>0</v>
      </c>
      <c r="R47">
        <v>8</v>
      </c>
      <c r="S47">
        <v>2</v>
      </c>
      <c r="T47">
        <v>4</v>
      </c>
      <c r="U47">
        <v>4</v>
      </c>
      <c r="V47" s="6"/>
      <c r="W47" s="6"/>
    </row>
    <row r="48" spans="1:31" x14ac:dyDescent="0.3">
      <c r="B48" t="str">
        <f t="shared" si="31"/>
        <v>Jerry Flynn</v>
      </c>
      <c r="C48">
        <f>+C46</f>
        <v>8</v>
      </c>
      <c r="D48">
        <v>4</v>
      </c>
      <c r="E48">
        <v>0</v>
      </c>
      <c r="F48">
        <v>5</v>
      </c>
      <c r="G48">
        <v>3</v>
      </c>
      <c r="H48">
        <f>+H44</f>
        <v>5</v>
      </c>
      <c r="I48">
        <v>2</v>
      </c>
      <c r="J48">
        <v>6</v>
      </c>
      <c r="K48">
        <v>0</v>
      </c>
      <c r="L48" s="6"/>
      <c r="M48">
        <v>0</v>
      </c>
      <c r="N48">
        <v>1</v>
      </c>
      <c r="O48">
        <v>1</v>
      </c>
      <c r="P48">
        <v>2</v>
      </c>
      <c r="Q48">
        <v>2</v>
      </c>
      <c r="R48">
        <v>8</v>
      </c>
      <c r="S48">
        <v>2</v>
      </c>
      <c r="T48">
        <v>1</v>
      </c>
      <c r="U48">
        <v>4</v>
      </c>
      <c r="V48" s="6"/>
      <c r="W48" s="6"/>
    </row>
    <row r="49" spans="2:23" x14ac:dyDescent="0.3">
      <c r="B49" t="str">
        <f t="shared" si="31"/>
        <v>Mike Flynn</v>
      </c>
      <c r="C49">
        <v>4</v>
      </c>
      <c r="D49">
        <v>6</v>
      </c>
      <c r="E49">
        <v>6</v>
      </c>
      <c r="F49">
        <v>5</v>
      </c>
      <c r="G49">
        <v>3</v>
      </c>
      <c r="H49">
        <v>9</v>
      </c>
      <c r="I49">
        <v>2</v>
      </c>
      <c r="J49">
        <v>1</v>
      </c>
      <c r="K49">
        <v>2</v>
      </c>
      <c r="L49" s="6"/>
      <c r="M49">
        <v>1</v>
      </c>
      <c r="N49">
        <v>1</v>
      </c>
      <c r="O49">
        <v>6</v>
      </c>
      <c r="P49">
        <v>2</v>
      </c>
      <c r="Q49">
        <v>8</v>
      </c>
      <c r="R49">
        <v>8</v>
      </c>
      <c r="S49">
        <v>2</v>
      </c>
      <c r="T49">
        <v>1</v>
      </c>
      <c r="U49">
        <v>4</v>
      </c>
      <c r="V49" s="6"/>
      <c r="W49" s="6"/>
    </row>
    <row r="50" spans="2:23" x14ac:dyDescent="0.3">
      <c r="B50" t="str">
        <f t="shared" si="31"/>
        <v>Kevin Fitzgerald</v>
      </c>
      <c r="C50">
        <v>0</v>
      </c>
      <c r="D50">
        <v>1</v>
      </c>
      <c r="E50">
        <v>2</v>
      </c>
      <c r="F50">
        <v>1</v>
      </c>
      <c r="G50">
        <v>3</v>
      </c>
      <c r="H50">
        <f>+H42</f>
        <v>2</v>
      </c>
      <c r="I50">
        <v>2</v>
      </c>
      <c r="J50">
        <v>6</v>
      </c>
      <c r="K50">
        <v>2</v>
      </c>
      <c r="L50" s="6"/>
      <c r="M50">
        <f>+M46</f>
        <v>6</v>
      </c>
      <c r="N50">
        <v>6</v>
      </c>
      <c r="O50">
        <v>10</v>
      </c>
      <c r="P50">
        <v>2</v>
      </c>
      <c r="Q50">
        <v>8</v>
      </c>
      <c r="R50">
        <v>0</v>
      </c>
      <c r="S50">
        <v>2</v>
      </c>
      <c r="T50">
        <v>9</v>
      </c>
      <c r="U50">
        <v>0</v>
      </c>
      <c r="V50" s="6"/>
      <c r="W50" s="6"/>
    </row>
    <row r="51" spans="2:23" x14ac:dyDescent="0.3">
      <c r="B51" t="str">
        <f t="shared" si="31"/>
        <v>Richard McGovern</v>
      </c>
      <c r="C51">
        <v>4</v>
      </c>
      <c r="D51">
        <v>1</v>
      </c>
      <c r="E51">
        <v>11</v>
      </c>
      <c r="F51">
        <v>5</v>
      </c>
      <c r="G51">
        <v>3</v>
      </c>
      <c r="H51">
        <f>+H49</f>
        <v>9</v>
      </c>
      <c r="I51">
        <v>9</v>
      </c>
      <c r="J51">
        <v>0</v>
      </c>
      <c r="K51">
        <v>2</v>
      </c>
      <c r="L51" s="6"/>
      <c r="M51">
        <v>1</v>
      </c>
      <c r="N51">
        <v>1</v>
      </c>
      <c r="O51">
        <v>1</v>
      </c>
      <c r="P51">
        <v>0</v>
      </c>
      <c r="Q51">
        <v>2</v>
      </c>
      <c r="R51">
        <v>0</v>
      </c>
      <c r="S51">
        <v>2</v>
      </c>
      <c r="T51">
        <v>0</v>
      </c>
      <c r="U51">
        <v>4</v>
      </c>
      <c r="V51" s="6"/>
      <c r="W51" s="6"/>
    </row>
    <row r="52" spans="2:23" x14ac:dyDescent="0.3">
      <c r="B52" t="str">
        <f t="shared" si="31"/>
        <v>Richie Payne</v>
      </c>
      <c r="C52">
        <v>1</v>
      </c>
      <c r="D52">
        <v>14</v>
      </c>
      <c r="E52">
        <v>9</v>
      </c>
      <c r="F52">
        <v>2</v>
      </c>
      <c r="G52">
        <v>2</v>
      </c>
      <c r="L52" s="6"/>
      <c r="V52" s="6"/>
      <c r="W52" s="6"/>
    </row>
    <row r="53" spans="2:23" x14ac:dyDescent="0.3">
      <c r="B53" t="str">
        <f t="shared" si="31"/>
        <v>Ed Cox</v>
      </c>
      <c r="C53">
        <v>1</v>
      </c>
      <c r="D53">
        <v>15</v>
      </c>
      <c r="E53">
        <v>0</v>
      </c>
      <c r="F53">
        <v>2</v>
      </c>
      <c r="G53">
        <v>2</v>
      </c>
      <c r="L53" s="6"/>
      <c r="V53" s="6"/>
      <c r="W53" s="6"/>
    </row>
    <row r="54" spans="2:23" x14ac:dyDescent="0.3">
      <c r="B54" t="str">
        <f t="shared" si="31"/>
        <v>Jack Sullivan</v>
      </c>
      <c r="C54">
        <v>1</v>
      </c>
      <c r="D54">
        <v>1</v>
      </c>
      <c r="E54">
        <v>3</v>
      </c>
      <c r="F54">
        <v>2</v>
      </c>
      <c r="L54" s="6"/>
      <c r="V54" s="6"/>
      <c r="W54" s="6"/>
    </row>
    <row r="55" spans="2:23" x14ac:dyDescent="0.3">
      <c r="C55">
        <f t="shared" ref="C55:K55" si="32">SUM(C39:C54)</f>
        <v>107</v>
      </c>
      <c r="D55">
        <f t="shared" si="32"/>
        <v>91</v>
      </c>
      <c r="E55">
        <f t="shared" si="32"/>
        <v>67</v>
      </c>
      <c r="F55">
        <f t="shared" si="32"/>
        <v>60</v>
      </c>
      <c r="G55">
        <f t="shared" si="32"/>
        <v>54</v>
      </c>
      <c r="H55">
        <f t="shared" si="32"/>
        <v>58</v>
      </c>
      <c r="I55">
        <f t="shared" si="32"/>
        <v>50</v>
      </c>
      <c r="J55">
        <f t="shared" si="32"/>
        <v>42</v>
      </c>
      <c r="K55">
        <f t="shared" si="32"/>
        <v>38</v>
      </c>
      <c r="L55" s="6"/>
      <c r="M55">
        <f t="shared" ref="M55:U55" si="33">SUM(M39:M54)</f>
        <v>47</v>
      </c>
      <c r="N55">
        <f t="shared" si="33"/>
        <v>52</v>
      </c>
      <c r="O55">
        <f t="shared" si="33"/>
        <v>55</v>
      </c>
      <c r="P55">
        <f t="shared" si="33"/>
        <v>22</v>
      </c>
      <c r="Q55">
        <f t="shared" si="33"/>
        <v>44</v>
      </c>
      <c r="R55">
        <f t="shared" si="33"/>
        <v>62</v>
      </c>
      <c r="S55">
        <f t="shared" si="33"/>
        <v>39</v>
      </c>
      <c r="T55">
        <f t="shared" si="33"/>
        <v>54</v>
      </c>
      <c r="U55">
        <f t="shared" si="33"/>
        <v>48</v>
      </c>
      <c r="V55" s="6"/>
      <c r="W55" s="6"/>
    </row>
    <row r="56" spans="2:23" x14ac:dyDescent="0.3">
      <c r="B56" s="1" t="s">
        <v>20</v>
      </c>
      <c r="L56" s="6"/>
      <c r="V56" s="6"/>
      <c r="W56" s="6"/>
    </row>
    <row r="57" spans="2:23" x14ac:dyDescent="0.3">
      <c r="B57" t="str">
        <f t="shared" ref="B57:B72" si="34">+B39</f>
        <v>Colin Sullivan</v>
      </c>
      <c r="C57" s="5">
        <v>-8</v>
      </c>
      <c r="D57" s="5">
        <v>0</v>
      </c>
      <c r="E57" s="5">
        <v>-10</v>
      </c>
      <c r="F57" s="5">
        <v>-7</v>
      </c>
      <c r="G57" s="5">
        <v>0</v>
      </c>
      <c r="H57" s="5">
        <v>-3</v>
      </c>
      <c r="I57" s="5">
        <v>-3</v>
      </c>
      <c r="J57" s="5">
        <v>0</v>
      </c>
      <c r="K57" s="5">
        <v>-2</v>
      </c>
      <c r="L57" s="12"/>
      <c r="M57" s="5">
        <v>0</v>
      </c>
      <c r="N57" s="5">
        <v>-1</v>
      </c>
      <c r="O57" s="5">
        <v>-6</v>
      </c>
      <c r="P57" s="5">
        <v>0</v>
      </c>
      <c r="Q57" s="5">
        <v>0</v>
      </c>
      <c r="R57" s="5">
        <v>0</v>
      </c>
      <c r="S57" s="5">
        <v>-2</v>
      </c>
      <c r="T57" s="5">
        <v>0</v>
      </c>
      <c r="U57" s="5">
        <v>-8</v>
      </c>
      <c r="V57" s="12"/>
      <c r="W57" s="12"/>
    </row>
    <row r="58" spans="2:23" x14ac:dyDescent="0.3">
      <c r="B58" t="str">
        <f t="shared" si="34"/>
        <v>Bernie Sullivan</v>
      </c>
      <c r="C58" s="5">
        <v>-1</v>
      </c>
      <c r="D58" s="5">
        <v>-2</v>
      </c>
      <c r="E58" s="5">
        <v>-1</v>
      </c>
      <c r="F58" s="5">
        <v>-11</v>
      </c>
      <c r="G58" s="5">
        <v>0</v>
      </c>
      <c r="H58" s="5">
        <v>-10</v>
      </c>
      <c r="I58" s="5">
        <v>-3</v>
      </c>
      <c r="J58" s="5">
        <v>0</v>
      </c>
      <c r="K58" s="5">
        <v>-10</v>
      </c>
      <c r="L58" s="12"/>
      <c r="M58" s="5">
        <v>-1</v>
      </c>
      <c r="N58" s="5">
        <v>-6</v>
      </c>
      <c r="O58" s="5">
        <v>0</v>
      </c>
      <c r="P58" s="5">
        <v>0</v>
      </c>
      <c r="Q58" s="5">
        <v>0</v>
      </c>
      <c r="R58" s="5">
        <v>-9</v>
      </c>
      <c r="S58" s="5">
        <v>-10</v>
      </c>
      <c r="T58" s="5">
        <v>-3</v>
      </c>
      <c r="U58" s="5">
        <v>-1</v>
      </c>
      <c r="V58" s="12"/>
      <c r="W58" s="12"/>
    </row>
    <row r="59" spans="2:23" x14ac:dyDescent="0.3">
      <c r="B59" t="str">
        <f t="shared" si="34"/>
        <v>Joe McCardel</v>
      </c>
      <c r="C59" s="5">
        <v>-2</v>
      </c>
      <c r="D59" s="5">
        <v>-11</v>
      </c>
      <c r="E59" s="5">
        <v>-6</v>
      </c>
      <c r="F59" s="5">
        <v>-7</v>
      </c>
      <c r="G59" s="5">
        <v>-11</v>
      </c>
      <c r="H59" s="5">
        <f>+H57</f>
        <v>-3</v>
      </c>
      <c r="I59" s="5">
        <v>-3</v>
      </c>
      <c r="J59" s="5">
        <v>-6</v>
      </c>
      <c r="K59" s="5">
        <v>0</v>
      </c>
      <c r="L59" s="12"/>
      <c r="M59" s="5">
        <v>-6</v>
      </c>
      <c r="N59" s="5">
        <f>+N58</f>
        <v>-6</v>
      </c>
      <c r="O59" s="5">
        <v>-11</v>
      </c>
      <c r="P59" s="5">
        <v>0</v>
      </c>
      <c r="Q59" s="5">
        <v>-10</v>
      </c>
      <c r="R59" s="5">
        <v>-4</v>
      </c>
      <c r="S59" s="5">
        <v>-2</v>
      </c>
      <c r="T59" s="5">
        <v>-3</v>
      </c>
      <c r="U59" s="5">
        <v>-8</v>
      </c>
      <c r="V59" s="12"/>
      <c r="W59" s="12"/>
    </row>
    <row r="60" spans="2:23" x14ac:dyDescent="0.3">
      <c r="B60" t="str">
        <f t="shared" si="34"/>
        <v>Dave Brauer</v>
      </c>
      <c r="C60" s="5">
        <v>-2</v>
      </c>
      <c r="D60" s="5">
        <v>-2</v>
      </c>
      <c r="E60" s="5">
        <v>-6</v>
      </c>
      <c r="F60" s="5">
        <v>-7</v>
      </c>
      <c r="G60" s="5">
        <v>-3</v>
      </c>
      <c r="H60" s="5">
        <v>-7</v>
      </c>
      <c r="I60" s="5">
        <v>0</v>
      </c>
      <c r="J60" s="5">
        <v>-6</v>
      </c>
      <c r="K60" s="5">
        <v>-2</v>
      </c>
      <c r="L60" s="12"/>
      <c r="M60" s="5">
        <f>+M58</f>
        <v>-1</v>
      </c>
      <c r="N60" s="5">
        <f>+N57</f>
        <v>-1</v>
      </c>
      <c r="O60" s="5">
        <v>-2</v>
      </c>
      <c r="P60" s="5">
        <v>-10</v>
      </c>
      <c r="Q60" s="5">
        <v>-4</v>
      </c>
      <c r="R60" s="5">
        <v>-4</v>
      </c>
      <c r="S60" s="5">
        <v>0</v>
      </c>
      <c r="T60" s="5">
        <v>0</v>
      </c>
      <c r="U60" s="5">
        <v>-1</v>
      </c>
      <c r="V60" s="12"/>
      <c r="W60" s="12"/>
    </row>
    <row r="61" spans="2:23" x14ac:dyDescent="0.3">
      <c r="B61" t="str">
        <f t="shared" si="34"/>
        <v>John Sullivan</v>
      </c>
      <c r="C61" s="5">
        <v>-2</v>
      </c>
      <c r="D61" s="5">
        <v>0</v>
      </c>
      <c r="E61" s="5">
        <v>-1</v>
      </c>
      <c r="F61" s="5">
        <v>0</v>
      </c>
      <c r="G61" s="5">
        <v>0</v>
      </c>
      <c r="H61" s="5">
        <v>-11</v>
      </c>
      <c r="I61" s="5">
        <v>-3</v>
      </c>
      <c r="J61" s="5">
        <v>0</v>
      </c>
      <c r="K61" s="5">
        <v>0</v>
      </c>
      <c r="L61" s="12"/>
      <c r="M61" s="5">
        <f>+M59</f>
        <v>-6</v>
      </c>
      <c r="N61" s="5">
        <v>0</v>
      </c>
      <c r="O61" s="5">
        <v>-2</v>
      </c>
      <c r="P61" s="5">
        <v>0</v>
      </c>
      <c r="Q61" s="5">
        <v>-4</v>
      </c>
      <c r="R61" s="5">
        <v>-4</v>
      </c>
      <c r="S61" s="5">
        <v>-1</v>
      </c>
      <c r="T61" s="5">
        <v>-3</v>
      </c>
      <c r="U61" s="5">
        <v>-1</v>
      </c>
      <c r="V61" s="12"/>
      <c r="W61" s="12"/>
    </row>
    <row r="62" spans="2:23" x14ac:dyDescent="0.3">
      <c r="B62" t="str">
        <f t="shared" si="34"/>
        <v>Ralph</v>
      </c>
      <c r="C62" s="5">
        <v>-2</v>
      </c>
      <c r="D62" s="5">
        <v>-6</v>
      </c>
      <c r="E62" s="5">
        <v>-6</v>
      </c>
      <c r="F62" s="5">
        <v>0</v>
      </c>
      <c r="G62" s="5">
        <v>-3</v>
      </c>
      <c r="H62" s="5">
        <f>+H59</f>
        <v>-3</v>
      </c>
      <c r="I62" s="5">
        <v>-10</v>
      </c>
      <c r="J62" s="5">
        <v>0</v>
      </c>
      <c r="K62" s="5">
        <v>-2</v>
      </c>
      <c r="L62" s="12"/>
      <c r="M62" s="5">
        <f>+M58</f>
        <v>-1</v>
      </c>
      <c r="N62" s="5">
        <v>-11</v>
      </c>
      <c r="O62" s="5">
        <v>-6</v>
      </c>
      <c r="P62" s="5">
        <v>0</v>
      </c>
      <c r="Q62" s="5">
        <v>-4</v>
      </c>
      <c r="R62" s="5">
        <v>-10</v>
      </c>
      <c r="S62" s="5">
        <v>-10</v>
      </c>
      <c r="T62" s="5">
        <v>-3</v>
      </c>
      <c r="U62" s="5">
        <v>-10</v>
      </c>
      <c r="V62" s="12"/>
      <c r="W62" s="12"/>
    </row>
    <row r="63" spans="2:23" x14ac:dyDescent="0.3">
      <c r="B63" t="str">
        <f t="shared" si="34"/>
        <v>Leo</v>
      </c>
      <c r="C63" s="5">
        <v>0</v>
      </c>
      <c r="D63" s="5">
        <v>-8</v>
      </c>
      <c r="E63" s="5">
        <v>-1</v>
      </c>
      <c r="F63" s="5">
        <v>-2</v>
      </c>
      <c r="G63" s="5">
        <v>-10</v>
      </c>
      <c r="H63" s="5">
        <v>0</v>
      </c>
      <c r="I63" s="5">
        <f>+I62</f>
        <v>-10</v>
      </c>
      <c r="J63" s="5">
        <v>-6</v>
      </c>
      <c r="K63" s="5">
        <v>-2</v>
      </c>
      <c r="L63" s="12"/>
      <c r="M63" s="5">
        <f>+M59</f>
        <v>-6</v>
      </c>
      <c r="N63" s="5">
        <f>+N57</f>
        <v>-1</v>
      </c>
      <c r="O63" s="5">
        <v>-6</v>
      </c>
      <c r="P63" s="5">
        <v>0</v>
      </c>
      <c r="Q63" s="5">
        <v>-4</v>
      </c>
      <c r="R63" s="5">
        <v>0</v>
      </c>
      <c r="S63" s="5">
        <v>-2</v>
      </c>
      <c r="T63" s="5">
        <v>-8</v>
      </c>
      <c r="U63" s="5">
        <v>0</v>
      </c>
      <c r="V63" s="12"/>
      <c r="W63" s="12"/>
    </row>
    <row r="64" spans="2:23" x14ac:dyDescent="0.3">
      <c r="B64" t="str">
        <f t="shared" si="34"/>
        <v>Matt Lawrence</v>
      </c>
      <c r="C64" s="5">
        <v>-4</v>
      </c>
      <c r="D64" s="5">
        <v>-2</v>
      </c>
      <c r="E64" s="5">
        <v>-1</v>
      </c>
      <c r="F64" s="5">
        <v>-2</v>
      </c>
      <c r="G64" s="5">
        <v>-9</v>
      </c>
      <c r="H64" s="5">
        <f>+H60</f>
        <v>-7</v>
      </c>
      <c r="I64" s="5">
        <v>0</v>
      </c>
      <c r="J64" s="5">
        <v>-6</v>
      </c>
      <c r="K64" s="5">
        <v>-2</v>
      </c>
      <c r="L64" s="12"/>
      <c r="M64" s="5">
        <f>+M58</f>
        <v>-1</v>
      </c>
      <c r="N64" s="5">
        <f>+N63</f>
        <v>-1</v>
      </c>
      <c r="O64" s="5">
        <f>+O61</f>
        <v>-2</v>
      </c>
      <c r="P64" s="5">
        <v>0</v>
      </c>
      <c r="Q64" s="5">
        <v>-10</v>
      </c>
      <c r="R64" s="5">
        <v>0</v>
      </c>
      <c r="S64" s="5">
        <v>-2</v>
      </c>
      <c r="T64" s="5">
        <v>-3</v>
      </c>
      <c r="U64" s="5">
        <v>-1</v>
      </c>
      <c r="V64" s="12"/>
      <c r="W64" s="12"/>
    </row>
    <row r="65" spans="2:28" x14ac:dyDescent="0.3">
      <c r="B65" t="str">
        <f t="shared" si="34"/>
        <v>Matt Brauer</v>
      </c>
      <c r="C65" s="5"/>
      <c r="D65" s="5"/>
      <c r="E65" s="5"/>
      <c r="F65" s="5"/>
      <c r="G65" s="5"/>
      <c r="H65" s="5"/>
      <c r="I65" s="5"/>
      <c r="J65" s="5"/>
      <c r="K65" s="5"/>
      <c r="L65" s="12"/>
      <c r="M65" s="5"/>
      <c r="N65" s="5"/>
      <c r="O65" s="5"/>
      <c r="P65" s="5"/>
      <c r="Q65" s="5"/>
      <c r="R65" s="5"/>
      <c r="S65" s="5"/>
      <c r="T65" s="5"/>
      <c r="U65" s="5"/>
      <c r="V65" s="12"/>
      <c r="W65" s="12"/>
    </row>
    <row r="66" spans="2:28" x14ac:dyDescent="0.3">
      <c r="B66" t="str">
        <f t="shared" si="34"/>
        <v>Jerry Flynn</v>
      </c>
      <c r="C66" s="5">
        <v>-2</v>
      </c>
      <c r="D66" s="5">
        <v>-6</v>
      </c>
      <c r="E66" s="5">
        <v>-10</v>
      </c>
      <c r="F66" s="5">
        <v>-2</v>
      </c>
      <c r="G66" s="5">
        <v>-3</v>
      </c>
      <c r="H66" s="5">
        <f>+H62</f>
        <v>-3</v>
      </c>
      <c r="I66" s="5">
        <v>-3</v>
      </c>
      <c r="J66" s="5">
        <v>0</v>
      </c>
      <c r="K66" s="5">
        <v>-10</v>
      </c>
      <c r="L66" s="12"/>
      <c r="M66" s="5">
        <v>-11</v>
      </c>
      <c r="N66" s="5">
        <f>+N58</f>
        <v>-6</v>
      </c>
      <c r="O66" s="5">
        <f>+O57</f>
        <v>-6</v>
      </c>
      <c r="P66" s="5">
        <v>0</v>
      </c>
      <c r="Q66" s="5">
        <v>-4</v>
      </c>
      <c r="R66" s="5">
        <v>0</v>
      </c>
      <c r="S66" s="5">
        <v>-2</v>
      </c>
      <c r="T66" s="5">
        <v>-8</v>
      </c>
      <c r="U66" s="5">
        <v>-1</v>
      </c>
      <c r="V66" s="12"/>
      <c r="W66" s="12"/>
    </row>
    <row r="67" spans="2:28" x14ac:dyDescent="0.3">
      <c r="B67" t="str">
        <f t="shared" si="34"/>
        <v>Mike Flynn</v>
      </c>
      <c r="C67" s="5">
        <v>-8</v>
      </c>
      <c r="D67" s="5">
        <v>-2</v>
      </c>
      <c r="E67" s="5">
        <v>-1</v>
      </c>
      <c r="F67" s="5">
        <v>-2</v>
      </c>
      <c r="G67" s="5">
        <v>-3</v>
      </c>
      <c r="H67" s="5">
        <v>-1</v>
      </c>
      <c r="I67" s="5">
        <v>-3</v>
      </c>
      <c r="J67" s="5">
        <v>-6</v>
      </c>
      <c r="K67" s="5">
        <v>-2</v>
      </c>
      <c r="L67" s="12"/>
      <c r="M67" s="5">
        <f>+M63</f>
        <v>-6</v>
      </c>
      <c r="N67" s="5">
        <f>+N66</f>
        <v>-6</v>
      </c>
      <c r="O67" s="5">
        <f>+O64</f>
        <v>-2</v>
      </c>
      <c r="P67" s="5">
        <v>0</v>
      </c>
      <c r="Q67" s="5">
        <v>0</v>
      </c>
      <c r="R67" s="5">
        <v>-4</v>
      </c>
      <c r="S67" s="5">
        <v>-2</v>
      </c>
      <c r="T67" s="5">
        <v>-8</v>
      </c>
      <c r="U67" s="5">
        <v>-1</v>
      </c>
      <c r="V67" s="12"/>
      <c r="W67" s="12"/>
    </row>
    <row r="68" spans="2:28" x14ac:dyDescent="0.3">
      <c r="B68" t="str">
        <f t="shared" si="34"/>
        <v>Kevin Fitzgerald</v>
      </c>
      <c r="C68" s="5">
        <v>-15</v>
      </c>
      <c r="D68" s="5">
        <v>-8</v>
      </c>
      <c r="E68" s="5">
        <v>-6</v>
      </c>
      <c r="F68" s="5">
        <v>-7</v>
      </c>
      <c r="G68" s="5">
        <v>-3</v>
      </c>
      <c r="H68" s="5">
        <f>+H60</f>
        <v>-7</v>
      </c>
      <c r="I68" s="5">
        <v>-3</v>
      </c>
      <c r="J68" s="5">
        <v>0</v>
      </c>
      <c r="K68" s="5">
        <v>-2</v>
      </c>
      <c r="L68" s="12"/>
      <c r="M68" s="5">
        <f>+M64</f>
        <v>-1</v>
      </c>
      <c r="N68" s="5">
        <f>+N64</f>
        <v>-1</v>
      </c>
      <c r="O68" s="5">
        <v>0</v>
      </c>
      <c r="P68" s="5">
        <v>0</v>
      </c>
      <c r="Q68" s="5">
        <v>0</v>
      </c>
      <c r="R68" s="5">
        <v>-10</v>
      </c>
      <c r="S68" s="5">
        <v>-2</v>
      </c>
      <c r="T68" s="5">
        <v>0</v>
      </c>
      <c r="U68" s="5">
        <v>-11</v>
      </c>
      <c r="V68" s="12"/>
      <c r="W68" s="12"/>
    </row>
    <row r="69" spans="2:28" x14ac:dyDescent="0.3">
      <c r="B69" t="str">
        <f t="shared" si="34"/>
        <v>Richard McGovern</v>
      </c>
      <c r="C69" s="5">
        <v>-8</v>
      </c>
      <c r="D69" s="5">
        <v>-8</v>
      </c>
      <c r="E69" s="5">
        <v>0</v>
      </c>
      <c r="F69" s="5">
        <v>-2</v>
      </c>
      <c r="G69" s="5">
        <v>-3</v>
      </c>
      <c r="H69" s="5">
        <f>+H67</f>
        <v>-1</v>
      </c>
      <c r="I69" s="5">
        <v>0</v>
      </c>
      <c r="J69" s="5">
        <v>-11</v>
      </c>
      <c r="K69" s="5">
        <v>-2</v>
      </c>
      <c r="L69" s="12"/>
      <c r="M69" s="5">
        <f>+M67</f>
        <v>-6</v>
      </c>
      <c r="N69" s="5">
        <f>+N67</f>
        <v>-6</v>
      </c>
      <c r="O69" s="5">
        <f>+O63</f>
        <v>-6</v>
      </c>
      <c r="P69" s="5">
        <v>-10</v>
      </c>
      <c r="Q69" s="5">
        <v>-4</v>
      </c>
      <c r="R69" s="5">
        <v>-9</v>
      </c>
      <c r="S69" s="5">
        <v>-2</v>
      </c>
      <c r="T69" s="5">
        <v>-11</v>
      </c>
      <c r="U69" s="5">
        <v>-1</v>
      </c>
      <c r="V69" s="12"/>
      <c r="W69" s="12"/>
    </row>
    <row r="70" spans="2:28" x14ac:dyDescent="0.3">
      <c r="B70" t="str">
        <f t="shared" si="34"/>
        <v>Richie Payne</v>
      </c>
      <c r="C70" s="5">
        <v>-12</v>
      </c>
      <c r="D70" s="5"/>
      <c r="E70" s="5"/>
      <c r="F70" s="5"/>
      <c r="G70" s="5"/>
      <c r="H70" s="5"/>
      <c r="I70" s="5"/>
      <c r="J70" s="5"/>
      <c r="K70" s="5"/>
      <c r="L70" s="12"/>
      <c r="M70" s="5"/>
      <c r="N70" s="5"/>
      <c r="O70" s="5"/>
      <c r="P70" s="5"/>
      <c r="Q70" s="5"/>
      <c r="R70" s="5"/>
      <c r="S70" s="5"/>
      <c r="T70" s="5"/>
      <c r="U70" s="5"/>
      <c r="V70" s="12"/>
      <c r="W70" s="12"/>
    </row>
    <row r="71" spans="2:28" x14ac:dyDescent="0.3">
      <c r="B71" t="str">
        <f t="shared" si="34"/>
        <v>Ed Cox</v>
      </c>
      <c r="C71" s="5">
        <v>-12</v>
      </c>
      <c r="D71" s="5"/>
      <c r="E71" s="5"/>
      <c r="F71" s="5"/>
      <c r="G71" s="5"/>
      <c r="H71" s="5"/>
      <c r="I71" s="5"/>
      <c r="J71" s="5"/>
      <c r="K71" s="5"/>
      <c r="L71" s="12"/>
      <c r="M71" s="5"/>
      <c r="N71" s="5"/>
      <c r="O71" s="5"/>
      <c r="P71" s="5"/>
      <c r="Q71" s="5"/>
      <c r="R71" s="5"/>
      <c r="S71" s="5"/>
      <c r="T71" s="5"/>
      <c r="U71" s="5"/>
      <c r="V71" s="12"/>
      <c r="W71" s="12"/>
    </row>
    <row r="72" spans="2:28" x14ac:dyDescent="0.3">
      <c r="B72" t="str">
        <f t="shared" si="34"/>
        <v>Jack Sullivan</v>
      </c>
      <c r="C72" s="5">
        <v>-12</v>
      </c>
      <c r="D72" s="5"/>
      <c r="E72" s="5"/>
      <c r="F72" s="5"/>
      <c r="G72" s="5"/>
      <c r="H72" s="5"/>
      <c r="I72" s="5"/>
      <c r="J72" s="5"/>
      <c r="K72" s="5"/>
      <c r="L72" s="12"/>
      <c r="M72" s="5"/>
      <c r="N72" s="5"/>
      <c r="O72" s="5"/>
      <c r="P72" s="5"/>
      <c r="Q72" s="5"/>
      <c r="R72" s="5"/>
      <c r="S72" s="5"/>
      <c r="T72" s="5"/>
      <c r="U72" s="5"/>
      <c r="V72" s="12"/>
      <c r="W72" s="12"/>
    </row>
    <row r="73" spans="2:28" x14ac:dyDescent="0.3">
      <c r="C73" s="5">
        <f t="shared" ref="C73:K73" si="35">SUM(C57:C72)</f>
        <v>-90</v>
      </c>
      <c r="D73" s="5">
        <f t="shared" si="35"/>
        <v>-55</v>
      </c>
      <c r="E73" s="5">
        <f t="shared" si="35"/>
        <v>-49</v>
      </c>
      <c r="F73" s="5">
        <f t="shared" si="35"/>
        <v>-49</v>
      </c>
      <c r="G73" s="5">
        <f t="shared" si="35"/>
        <v>-48</v>
      </c>
      <c r="H73" s="5">
        <f t="shared" si="35"/>
        <v>-56</v>
      </c>
      <c r="I73" s="5">
        <f t="shared" si="35"/>
        <v>-41</v>
      </c>
      <c r="J73" s="5">
        <f t="shared" si="35"/>
        <v>-41</v>
      </c>
      <c r="K73" s="5">
        <f t="shared" si="35"/>
        <v>-36</v>
      </c>
      <c r="L73" s="12"/>
      <c r="M73" s="5">
        <f t="shared" ref="M73:U73" si="36">SUM(M57:M72)</f>
        <v>-46</v>
      </c>
      <c r="N73" s="5">
        <f t="shared" si="36"/>
        <v>-46</v>
      </c>
      <c r="O73" s="5">
        <f t="shared" si="36"/>
        <v>-49</v>
      </c>
      <c r="P73" s="5">
        <f t="shared" si="36"/>
        <v>-20</v>
      </c>
      <c r="Q73" s="5">
        <f t="shared" si="36"/>
        <v>-44</v>
      </c>
      <c r="R73" s="5">
        <f t="shared" si="36"/>
        <v>-54</v>
      </c>
      <c r="S73" s="5">
        <f t="shared" si="36"/>
        <v>-37</v>
      </c>
      <c r="T73" s="5">
        <f t="shared" si="36"/>
        <v>-50</v>
      </c>
      <c r="U73" s="5">
        <f t="shared" si="36"/>
        <v>-44</v>
      </c>
      <c r="V73" s="12"/>
      <c r="W73" s="12"/>
    </row>
    <row r="74" spans="2:28" x14ac:dyDescent="0.3">
      <c r="B74" t="s">
        <v>16</v>
      </c>
      <c r="C74" s="5"/>
      <c r="D74" s="5"/>
      <c r="E74" s="5"/>
      <c r="F74" s="5"/>
      <c r="G74" s="5"/>
      <c r="H74" s="5"/>
      <c r="I74" s="5"/>
      <c r="J74" s="5"/>
      <c r="K74" s="5"/>
      <c r="L74" s="12"/>
      <c r="M74" s="5"/>
      <c r="N74" s="5"/>
      <c r="O74" s="5"/>
      <c r="P74" s="5"/>
      <c r="Q74" s="5"/>
      <c r="R74" s="5"/>
      <c r="S74" s="5"/>
      <c r="T74" s="5"/>
      <c r="U74" s="5"/>
      <c r="V74" s="12"/>
      <c r="W74" s="12"/>
      <c r="Y74" t="s">
        <v>17</v>
      </c>
      <c r="Z74" t="s">
        <v>18</v>
      </c>
      <c r="AA74" t="s">
        <v>1</v>
      </c>
    </row>
    <row r="75" spans="2:28" x14ac:dyDescent="0.3">
      <c r="B75" t="str">
        <f t="shared" ref="B75:B90" si="37">+B57</f>
        <v>Colin Sullivan</v>
      </c>
      <c r="C75" s="5">
        <f t="shared" ref="C75:K75" si="38">+C39+C57</f>
        <v>-4</v>
      </c>
      <c r="D75" s="5">
        <f t="shared" si="38"/>
        <v>10</v>
      </c>
      <c r="E75" s="5">
        <f t="shared" si="38"/>
        <v>-10</v>
      </c>
      <c r="F75" s="5">
        <f t="shared" si="38"/>
        <v>-6</v>
      </c>
      <c r="G75" s="5">
        <f t="shared" si="38"/>
        <v>9</v>
      </c>
      <c r="H75" s="5">
        <f t="shared" si="38"/>
        <v>2</v>
      </c>
      <c r="I75" s="5">
        <f t="shared" si="38"/>
        <v>-1</v>
      </c>
      <c r="J75" s="5">
        <f t="shared" si="38"/>
        <v>6</v>
      </c>
      <c r="K75" s="5">
        <f t="shared" si="38"/>
        <v>0</v>
      </c>
      <c r="L75" s="12">
        <f t="shared" ref="L75:L87" si="39">SUM(C75:K75)</f>
        <v>6</v>
      </c>
      <c r="M75" s="5">
        <f t="shared" ref="M75:U75" si="40">+M39+M57</f>
        <v>11</v>
      </c>
      <c r="N75" s="5">
        <f t="shared" si="40"/>
        <v>5</v>
      </c>
      <c r="O75" s="5">
        <f t="shared" si="40"/>
        <v>-5</v>
      </c>
      <c r="P75" s="5">
        <f t="shared" si="40"/>
        <v>2</v>
      </c>
      <c r="Q75" s="5">
        <f t="shared" si="40"/>
        <v>8</v>
      </c>
      <c r="R75" s="5">
        <f t="shared" si="40"/>
        <v>8</v>
      </c>
      <c r="S75" s="5">
        <f t="shared" si="40"/>
        <v>0</v>
      </c>
      <c r="T75" s="5">
        <f t="shared" si="40"/>
        <v>9</v>
      </c>
      <c r="U75" s="5">
        <f t="shared" si="40"/>
        <v>-6</v>
      </c>
      <c r="V75" s="12">
        <f>SUM(M75:U75)</f>
        <v>32</v>
      </c>
      <c r="W75" s="12">
        <f>+V75+L75</f>
        <v>38</v>
      </c>
      <c r="X75" s="3">
        <f>+W75*0.3</f>
        <v>11.4</v>
      </c>
      <c r="Y75" s="4">
        <f>3.5-1.5</f>
        <v>2</v>
      </c>
      <c r="Z75" s="4">
        <v>5</v>
      </c>
      <c r="AA75" s="4">
        <f>10-1</f>
        <v>9</v>
      </c>
      <c r="AB75" s="10">
        <f>+X75+Y75+Z75+AA75</f>
        <v>27.4</v>
      </c>
    </row>
    <row r="76" spans="2:28" x14ac:dyDescent="0.3">
      <c r="B76" t="str">
        <f t="shared" si="37"/>
        <v>Bernie Sullivan</v>
      </c>
      <c r="C76" s="5">
        <f t="shared" ref="C76:K76" si="41">+C40+C58</f>
        <v>13</v>
      </c>
      <c r="D76" s="5">
        <f t="shared" si="41"/>
        <v>4</v>
      </c>
      <c r="E76" s="5">
        <f t="shared" si="41"/>
        <v>5</v>
      </c>
      <c r="F76" s="5">
        <f t="shared" si="41"/>
        <v>-11</v>
      </c>
      <c r="G76" s="5">
        <f t="shared" si="41"/>
        <v>9</v>
      </c>
      <c r="H76" s="5">
        <f t="shared" si="41"/>
        <v>-9</v>
      </c>
      <c r="I76" s="5">
        <f t="shared" si="41"/>
        <v>-1</v>
      </c>
      <c r="J76" s="5">
        <f t="shared" si="41"/>
        <v>6</v>
      </c>
      <c r="K76" s="5">
        <f t="shared" si="41"/>
        <v>-10</v>
      </c>
      <c r="L76" s="12">
        <f t="shared" si="39"/>
        <v>6</v>
      </c>
      <c r="M76" s="5">
        <f t="shared" ref="M76:U76" si="42">+M40+M58</f>
        <v>5</v>
      </c>
      <c r="N76" s="5">
        <f t="shared" si="42"/>
        <v>-5</v>
      </c>
      <c r="O76" s="5">
        <f t="shared" si="42"/>
        <v>10</v>
      </c>
      <c r="P76" s="5">
        <f t="shared" si="42"/>
        <v>2</v>
      </c>
      <c r="Q76" s="5">
        <f t="shared" si="42"/>
        <v>8</v>
      </c>
      <c r="R76" s="5">
        <f t="shared" si="42"/>
        <v>-7</v>
      </c>
      <c r="S76" s="5">
        <f t="shared" si="42"/>
        <v>-10</v>
      </c>
      <c r="T76" s="5">
        <f t="shared" si="42"/>
        <v>1</v>
      </c>
      <c r="U76" s="5">
        <f t="shared" si="42"/>
        <v>3</v>
      </c>
      <c r="V76" s="12">
        <f t="shared" ref="V76:V87" si="43">SUM(M76:U76)</f>
        <v>7</v>
      </c>
      <c r="W76" s="12">
        <f t="shared" ref="W76:W90" si="44">+V76+L76</f>
        <v>13</v>
      </c>
      <c r="X76" s="3">
        <f t="shared" ref="X76:X90" si="45">+W76*0.3</f>
        <v>3.9</v>
      </c>
      <c r="Y76" s="4">
        <f>1-4</f>
        <v>-3</v>
      </c>
      <c r="Z76" s="4">
        <f>3-2.5</f>
        <v>0.5</v>
      </c>
      <c r="AA76" s="4">
        <f>6-5</f>
        <v>1</v>
      </c>
      <c r="AB76" s="10">
        <f t="shared" ref="AB76:AB90" si="46">+X76+Y76+Z76+AA76</f>
        <v>2.4</v>
      </c>
    </row>
    <row r="77" spans="2:28" x14ac:dyDescent="0.3">
      <c r="B77" t="str">
        <f t="shared" si="37"/>
        <v>Joe McCardel</v>
      </c>
      <c r="C77" s="5">
        <f t="shared" ref="C77:K77" si="47">+C41+C59</f>
        <v>6</v>
      </c>
      <c r="D77" s="5">
        <f t="shared" si="47"/>
        <v>-11</v>
      </c>
      <c r="E77" s="5">
        <f t="shared" si="47"/>
        <v>-4</v>
      </c>
      <c r="F77" s="5">
        <f t="shared" si="47"/>
        <v>-6</v>
      </c>
      <c r="G77" s="5">
        <f t="shared" si="47"/>
        <v>-11</v>
      </c>
      <c r="H77" s="5">
        <f t="shared" si="47"/>
        <v>2</v>
      </c>
      <c r="I77" s="5">
        <f t="shared" si="47"/>
        <v>-1</v>
      </c>
      <c r="J77" s="5">
        <f t="shared" si="47"/>
        <v>-5</v>
      </c>
      <c r="K77" s="5">
        <f t="shared" si="47"/>
        <v>10</v>
      </c>
      <c r="L77" s="12">
        <f t="shared" si="39"/>
        <v>-20</v>
      </c>
      <c r="M77" s="5">
        <f t="shared" ref="M77:U77" si="48">+M41+M59</f>
        <v>-5</v>
      </c>
      <c r="N77" s="5">
        <f t="shared" si="48"/>
        <v>-5</v>
      </c>
      <c r="O77" s="5">
        <f t="shared" si="48"/>
        <v>-11</v>
      </c>
      <c r="P77" s="5">
        <f t="shared" si="48"/>
        <v>2</v>
      </c>
      <c r="Q77" s="5">
        <f t="shared" si="48"/>
        <v>-10</v>
      </c>
      <c r="R77" s="5">
        <f t="shared" si="48"/>
        <v>0</v>
      </c>
      <c r="S77" s="5">
        <f t="shared" si="48"/>
        <v>0</v>
      </c>
      <c r="T77" s="5">
        <f t="shared" si="48"/>
        <v>1</v>
      </c>
      <c r="U77" s="5">
        <f t="shared" si="48"/>
        <v>-6</v>
      </c>
      <c r="V77" s="12">
        <f t="shared" si="43"/>
        <v>-34</v>
      </c>
      <c r="W77" s="12">
        <f t="shared" si="44"/>
        <v>-54</v>
      </c>
      <c r="X77" s="3">
        <f t="shared" si="45"/>
        <v>-16.2</v>
      </c>
      <c r="Y77" s="4">
        <v>-5.5</v>
      </c>
      <c r="Z77" s="4">
        <f>1-4.5</f>
        <v>-3.5</v>
      </c>
      <c r="AA77" s="4">
        <v>-11</v>
      </c>
      <c r="AB77" s="10">
        <f t="shared" si="46"/>
        <v>-36.200000000000003</v>
      </c>
    </row>
    <row r="78" spans="2:28" x14ac:dyDescent="0.3">
      <c r="B78" t="str">
        <f t="shared" si="37"/>
        <v>Dave Brauer</v>
      </c>
      <c r="C78" s="5">
        <f t="shared" ref="C78:K78" si="49">+C42+C60</f>
        <v>6</v>
      </c>
      <c r="D78" s="5">
        <f t="shared" si="49"/>
        <v>4</v>
      </c>
      <c r="E78" s="5">
        <f t="shared" si="49"/>
        <v>-4</v>
      </c>
      <c r="F78" s="5">
        <f t="shared" si="49"/>
        <v>-6</v>
      </c>
      <c r="G78" s="5">
        <f t="shared" si="49"/>
        <v>0</v>
      </c>
      <c r="H78" s="5">
        <f t="shared" si="49"/>
        <v>-5</v>
      </c>
      <c r="I78" s="5">
        <f t="shared" si="49"/>
        <v>9</v>
      </c>
      <c r="J78" s="5">
        <f t="shared" si="49"/>
        <v>-5</v>
      </c>
      <c r="K78" s="5">
        <f t="shared" si="49"/>
        <v>0</v>
      </c>
      <c r="L78" s="12">
        <f t="shared" si="39"/>
        <v>-1</v>
      </c>
      <c r="M78" s="5">
        <f t="shared" ref="M78:U78" si="50">+M42+M60</f>
        <v>5</v>
      </c>
      <c r="N78" s="5">
        <f t="shared" si="50"/>
        <v>5</v>
      </c>
      <c r="O78" s="5">
        <f t="shared" si="50"/>
        <v>4</v>
      </c>
      <c r="P78" s="5">
        <f t="shared" si="50"/>
        <v>-10</v>
      </c>
      <c r="Q78" s="5">
        <f t="shared" si="50"/>
        <v>-2</v>
      </c>
      <c r="R78" s="5">
        <f t="shared" si="50"/>
        <v>0</v>
      </c>
      <c r="S78" s="5">
        <f t="shared" si="50"/>
        <v>11</v>
      </c>
      <c r="T78" s="5">
        <f t="shared" si="50"/>
        <v>9</v>
      </c>
      <c r="U78" s="5">
        <f t="shared" si="50"/>
        <v>3</v>
      </c>
      <c r="V78" s="12">
        <f t="shared" si="43"/>
        <v>25</v>
      </c>
      <c r="W78" s="12">
        <f t="shared" si="44"/>
        <v>24</v>
      </c>
      <c r="X78" s="3">
        <f t="shared" si="45"/>
        <v>7.1999999999999993</v>
      </c>
      <c r="Y78" s="4">
        <v>0</v>
      </c>
      <c r="Z78" s="4">
        <f>4.5-0.5</f>
        <v>4</v>
      </c>
      <c r="AA78" s="4">
        <f>7-3</f>
        <v>4</v>
      </c>
      <c r="AB78" s="10">
        <f>+X78+Y78+Z78+AA78</f>
        <v>15.2</v>
      </c>
    </row>
    <row r="79" spans="2:28" x14ac:dyDescent="0.3">
      <c r="B79" t="str">
        <f t="shared" si="37"/>
        <v>John Sullivan</v>
      </c>
      <c r="C79" s="5">
        <f t="shared" ref="C79:K79" si="51">+C43+C61</f>
        <v>6</v>
      </c>
      <c r="D79" s="5">
        <f t="shared" si="51"/>
        <v>10</v>
      </c>
      <c r="E79" s="5">
        <f t="shared" si="51"/>
        <v>5</v>
      </c>
      <c r="F79" s="5">
        <f t="shared" si="51"/>
        <v>10</v>
      </c>
      <c r="G79" s="5">
        <f t="shared" si="51"/>
        <v>9</v>
      </c>
      <c r="H79" s="5">
        <f t="shared" si="51"/>
        <v>-11</v>
      </c>
      <c r="I79" s="5">
        <f t="shared" si="51"/>
        <v>-1</v>
      </c>
      <c r="J79" s="5">
        <f t="shared" si="51"/>
        <v>6</v>
      </c>
      <c r="K79" s="5">
        <f t="shared" si="51"/>
        <v>10</v>
      </c>
      <c r="L79" s="12">
        <f t="shared" si="39"/>
        <v>44</v>
      </c>
      <c r="M79" s="5">
        <f t="shared" ref="M79:U79" si="52">+M43+M61</f>
        <v>-5</v>
      </c>
      <c r="N79" s="5">
        <f t="shared" si="52"/>
        <v>11</v>
      </c>
      <c r="O79" s="5">
        <f t="shared" si="52"/>
        <v>4</v>
      </c>
      <c r="P79" s="5">
        <f t="shared" si="52"/>
        <v>2</v>
      </c>
      <c r="Q79" s="5">
        <f t="shared" si="52"/>
        <v>-2</v>
      </c>
      <c r="R79" s="5">
        <f t="shared" si="52"/>
        <v>0</v>
      </c>
      <c r="S79" s="5">
        <f t="shared" si="52"/>
        <v>9</v>
      </c>
      <c r="T79" s="5">
        <f t="shared" si="52"/>
        <v>1</v>
      </c>
      <c r="U79" s="5">
        <f t="shared" si="52"/>
        <v>3</v>
      </c>
      <c r="V79" s="12">
        <f t="shared" si="43"/>
        <v>23</v>
      </c>
      <c r="W79" s="12">
        <f t="shared" si="44"/>
        <v>67</v>
      </c>
      <c r="X79" s="3">
        <f t="shared" si="45"/>
        <v>20.099999999999998</v>
      </c>
      <c r="Y79" s="4">
        <v>5</v>
      </c>
      <c r="Z79" s="4">
        <f>+Z78</f>
        <v>4</v>
      </c>
      <c r="AA79" s="4">
        <v>11</v>
      </c>
      <c r="AB79" s="10">
        <f t="shared" si="46"/>
        <v>40.099999999999994</v>
      </c>
    </row>
    <row r="80" spans="2:28" x14ac:dyDescent="0.3">
      <c r="B80" t="str">
        <f t="shared" si="37"/>
        <v>Ralph</v>
      </c>
      <c r="C80" s="5">
        <f t="shared" ref="C80:K80" si="53">+C44+C62</f>
        <v>6</v>
      </c>
      <c r="D80" s="5">
        <f t="shared" si="53"/>
        <v>-2</v>
      </c>
      <c r="E80" s="5">
        <f t="shared" si="53"/>
        <v>-4</v>
      </c>
      <c r="F80" s="5">
        <f t="shared" si="53"/>
        <v>10</v>
      </c>
      <c r="G80" s="5">
        <f t="shared" si="53"/>
        <v>0</v>
      </c>
      <c r="H80" s="5">
        <f t="shared" si="53"/>
        <v>2</v>
      </c>
      <c r="I80" s="5">
        <f t="shared" si="53"/>
        <v>-10</v>
      </c>
      <c r="J80" s="5">
        <f t="shared" si="53"/>
        <v>6</v>
      </c>
      <c r="K80" s="5">
        <f t="shared" si="53"/>
        <v>0</v>
      </c>
      <c r="L80" s="12">
        <f t="shared" si="39"/>
        <v>8</v>
      </c>
      <c r="M80" s="5">
        <f t="shared" ref="M80:U80" si="54">+M44+M62</f>
        <v>5</v>
      </c>
      <c r="N80" s="5">
        <f t="shared" si="54"/>
        <v>-11</v>
      </c>
      <c r="O80" s="5">
        <f t="shared" si="54"/>
        <v>-5</v>
      </c>
      <c r="P80" s="5">
        <f t="shared" si="54"/>
        <v>2</v>
      </c>
      <c r="Q80" s="5">
        <f t="shared" si="54"/>
        <v>-2</v>
      </c>
      <c r="R80" s="5">
        <f t="shared" si="54"/>
        <v>-10</v>
      </c>
      <c r="S80" s="5">
        <f t="shared" si="54"/>
        <v>-10</v>
      </c>
      <c r="T80" s="5">
        <f t="shared" si="54"/>
        <v>1</v>
      </c>
      <c r="U80" s="5">
        <f t="shared" si="54"/>
        <v>-9</v>
      </c>
      <c r="V80" s="12">
        <f t="shared" si="43"/>
        <v>-39</v>
      </c>
      <c r="W80" s="12">
        <f t="shared" si="44"/>
        <v>-31</v>
      </c>
      <c r="X80" s="3">
        <f t="shared" si="45"/>
        <v>-9.2999999999999989</v>
      </c>
      <c r="Y80" s="4">
        <v>0</v>
      </c>
      <c r="Z80" s="4">
        <v>-5</v>
      </c>
      <c r="AA80" s="4">
        <f>1-10</f>
        <v>-9</v>
      </c>
      <c r="AB80" s="10">
        <f t="shared" si="46"/>
        <v>-23.299999999999997</v>
      </c>
    </row>
    <row r="81" spans="2:28" x14ac:dyDescent="0.3">
      <c r="B81" t="str">
        <f t="shared" si="37"/>
        <v>Leo</v>
      </c>
      <c r="C81" s="5">
        <f t="shared" ref="C81:K81" si="55">+C45+C63</f>
        <v>15</v>
      </c>
      <c r="D81" s="5">
        <f t="shared" si="55"/>
        <v>-7</v>
      </c>
      <c r="E81" s="5">
        <f t="shared" si="55"/>
        <v>5</v>
      </c>
      <c r="F81" s="5">
        <f t="shared" si="55"/>
        <v>3</v>
      </c>
      <c r="G81" s="5">
        <f t="shared" si="55"/>
        <v>-9</v>
      </c>
      <c r="H81" s="5">
        <f t="shared" si="55"/>
        <v>11</v>
      </c>
      <c r="I81" s="5">
        <f t="shared" si="55"/>
        <v>-10</v>
      </c>
      <c r="J81" s="5">
        <f t="shared" si="55"/>
        <v>-5</v>
      </c>
      <c r="K81" s="5">
        <f t="shared" si="55"/>
        <v>0</v>
      </c>
      <c r="L81" s="12">
        <f t="shared" si="39"/>
        <v>3</v>
      </c>
      <c r="M81" s="5">
        <f t="shared" ref="M81:U81" si="56">+M45+M63</f>
        <v>-5</v>
      </c>
      <c r="N81" s="5">
        <f t="shared" si="56"/>
        <v>5</v>
      </c>
      <c r="O81" s="5">
        <f t="shared" si="56"/>
        <v>-5</v>
      </c>
      <c r="P81" s="5">
        <f t="shared" si="56"/>
        <v>2</v>
      </c>
      <c r="Q81" s="5">
        <f t="shared" si="56"/>
        <v>-2</v>
      </c>
      <c r="R81" s="5">
        <f t="shared" si="56"/>
        <v>8</v>
      </c>
      <c r="S81" s="5">
        <f t="shared" si="56"/>
        <v>0</v>
      </c>
      <c r="T81" s="5">
        <f t="shared" si="56"/>
        <v>-7</v>
      </c>
      <c r="U81" s="5">
        <f t="shared" si="56"/>
        <v>11</v>
      </c>
      <c r="V81" s="12">
        <f t="shared" si="43"/>
        <v>7</v>
      </c>
      <c r="W81" s="12">
        <f t="shared" si="44"/>
        <v>10</v>
      </c>
      <c r="X81" s="3">
        <f t="shared" si="45"/>
        <v>3</v>
      </c>
      <c r="Y81" s="4">
        <f>0.5-5</f>
        <v>-4.5</v>
      </c>
      <c r="Z81" s="4">
        <f>3.5-1.5</f>
        <v>2</v>
      </c>
      <c r="AA81" s="4">
        <f>4-6</f>
        <v>-2</v>
      </c>
      <c r="AB81" s="10">
        <f t="shared" si="46"/>
        <v>-1.5</v>
      </c>
    </row>
    <row r="82" spans="2:28" x14ac:dyDescent="0.3">
      <c r="B82" t="str">
        <f t="shared" si="37"/>
        <v>Matt Lawrence</v>
      </c>
      <c r="C82" s="5">
        <f t="shared" ref="C82:K83" si="57">+C46+C64</f>
        <v>4</v>
      </c>
      <c r="D82" s="5">
        <f t="shared" si="57"/>
        <v>4</v>
      </c>
      <c r="E82" s="5">
        <f t="shared" si="57"/>
        <v>5</v>
      </c>
      <c r="F82" s="5">
        <f t="shared" si="57"/>
        <v>3</v>
      </c>
      <c r="G82" s="5">
        <f t="shared" si="57"/>
        <v>-7</v>
      </c>
      <c r="H82" s="5">
        <f t="shared" si="57"/>
        <v>-5</v>
      </c>
      <c r="I82" s="5">
        <f t="shared" si="57"/>
        <v>9</v>
      </c>
      <c r="J82" s="5">
        <f t="shared" si="57"/>
        <v>-5</v>
      </c>
      <c r="K82" s="5">
        <f t="shared" si="57"/>
        <v>0</v>
      </c>
      <c r="L82" s="12">
        <f t="shared" si="39"/>
        <v>8</v>
      </c>
      <c r="M82" s="5">
        <f t="shared" ref="M82:U83" si="58">+M46+M64</f>
        <v>5</v>
      </c>
      <c r="N82" s="5">
        <f t="shared" si="58"/>
        <v>5</v>
      </c>
      <c r="O82" s="5">
        <f t="shared" si="58"/>
        <v>4</v>
      </c>
      <c r="P82" s="5">
        <f t="shared" si="58"/>
        <v>2</v>
      </c>
      <c r="Q82" s="5">
        <f t="shared" si="58"/>
        <v>-10</v>
      </c>
      <c r="R82" s="5">
        <f t="shared" si="58"/>
        <v>8</v>
      </c>
      <c r="S82" s="5">
        <f t="shared" si="58"/>
        <v>0</v>
      </c>
      <c r="T82" s="5">
        <f t="shared" si="58"/>
        <v>1</v>
      </c>
      <c r="U82" s="5">
        <f t="shared" si="58"/>
        <v>3</v>
      </c>
      <c r="V82" s="12">
        <f t="shared" si="43"/>
        <v>18</v>
      </c>
      <c r="W82" s="12">
        <f t="shared" si="44"/>
        <v>26</v>
      </c>
      <c r="X82" s="3">
        <f t="shared" si="45"/>
        <v>7.8</v>
      </c>
      <c r="Y82" s="4">
        <f>3.5-1.5</f>
        <v>2</v>
      </c>
      <c r="Z82" s="4">
        <f>3.5-1.5</f>
        <v>2</v>
      </c>
      <c r="AA82" s="4">
        <f>+AA78</f>
        <v>4</v>
      </c>
      <c r="AB82" s="10">
        <f t="shared" si="46"/>
        <v>15.8</v>
      </c>
    </row>
    <row r="83" spans="2:28" x14ac:dyDescent="0.3">
      <c r="B83" t="str">
        <f t="shared" si="37"/>
        <v>Matt Brauer</v>
      </c>
      <c r="C83" s="5">
        <f t="shared" si="57"/>
        <v>15</v>
      </c>
      <c r="D83" s="5">
        <f t="shared" si="57"/>
        <v>6</v>
      </c>
      <c r="E83" s="5">
        <f t="shared" si="57"/>
        <v>6</v>
      </c>
      <c r="F83" s="5">
        <f t="shared" si="57"/>
        <v>5</v>
      </c>
      <c r="G83" s="5">
        <f t="shared" si="57"/>
        <v>2</v>
      </c>
      <c r="H83" s="5">
        <f t="shared" si="57"/>
        <v>2</v>
      </c>
      <c r="I83" s="5">
        <f t="shared" si="57"/>
        <v>9</v>
      </c>
      <c r="J83" s="5">
        <f t="shared" si="57"/>
        <v>1</v>
      </c>
      <c r="K83" s="5">
        <f t="shared" si="57"/>
        <v>2</v>
      </c>
      <c r="L83" s="12">
        <f>SUM(C83:K83)</f>
        <v>48</v>
      </c>
      <c r="M83" s="5">
        <f t="shared" si="58"/>
        <v>1</v>
      </c>
      <c r="N83" s="5">
        <f t="shared" si="58"/>
        <v>6</v>
      </c>
      <c r="O83" s="5">
        <f t="shared" si="58"/>
        <v>6</v>
      </c>
      <c r="P83" s="5">
        <f t="shared" si="58"/>
        <v>2</v>
      </c>
      <c r="Q83" s="5">
        <f t="shared" si="58"/>
        <v>0</v>
      </c>
      <c r="R83" s="5">
        <f t="shared" si="58"/>
        <v>8</v>
      </c>
      <c r="S83" s="5">
        <f t="shared" si="58"/>
        <v>2</v>
      </c>
      <c r="T83" s="5">
        <f t="shared" si="58"/>
        <v>4</v>
      </c>
      <c r="U83" s="5">
        <f t="shared" si="58"/>
        <v>4</v>
      </c>
      <c r="V83" s="12">
        <f>SUM(M83:U83)</f>
        <v>33</v>
      </c>
      <c r="W83" s="12">
        <f>+V83+L83</f>
        <v>81</v>
      </c>
      <c r="X83" s="3">
        <f>+W83*0.3</f>
        <v>24.3</v>
      </c>
      <c r="Y83" s="4">
        <f>3.5-1.5</f>
        <v>2</v>
      </c>
      <c r="Z83" s="4">
        <f>3.5-1.5</f>
        <v>2</v>
      </c>
      <c r="AA83" s="4">
        <f>+AA79</f>
        <v>11</v>
      </c>
      <c r="AB83" s="10"/>
    </row>
    <row r="84" spans="2:28" x14ac:dyDescent="0.3">
      <c r="B84" t="str">
        <f t="shared" si="37"/>
        <v>Jerry Flynn</v>
      </c>
      <c r="C84" s="5">
        <f t="shared" ref="C84:K84" si="59">+C48+C66</f>
        <v>6</v>
      </c>
      <c r="D84" s="5">
        <f t="shared" si="59"/>
        <v>-2</v>
      </c>
      <c r="E84" s="5">
        <f t="shared" si="59"/>
        <v>-10</v>
      </c>
      <c r="F84" s="5">
        <f t="shared" si="59"/>
        <v>3</v>
      </c>
      <c r="G84" s="5">
        <f t="shared" si="59"/>
        <v>0</v>
      </c>
      <c r="H84" s="5">
        <f t="shared" si="59"/>
        <v>2</v>
      </c>
      <c r="I84" s="5">
        <f t="shared" si="59"/>
        <v>-1</v>
      </c>
      <c r="J84" s="5">
        <f t="shared" si="59"/>
        <v>6</v>
      </c>
      <c r="K84" s="5">
        <f t="shared" si="59"/>
        <v>-10</v>
      </c>
      <c r="L84" s="12">
        <f t="shared" si="39"/>
        <v>-6</v>
      </c>
      <c r="M84" s="5">
        <f t="shared" ref="M84:U84" si="60">+M48+M66</f>
        <v>-11</v>
      </c>
      <c r="N84" s="5">
        <f t="shared" si="60"/>
        <v>-5</v>
      </c>
      <c r="O84" s="5">
        <f t="shared" si="60"/>
        <v>-5</v>
      </c>
      <c r="P84" s="5">
        <f t="shared" si="60"/>
        <v>2</v>
      </c>
      <c r="Q84" s="5">
        <f t="shared" si="60"/>
        <v>-2</v>
      </c>
      <c r="R84" s="5">
        <f t="shared" si="60"/>
        <v>8</v>
      </c>
      <c r="S84" s="5">
        <f t="shared" si="60"/>
        <v>0</v>
      </c>
      <c r="T84" s="5">
        <f t="shared" si="60"/>
        <v>-7</v>
      </c>
      <c r="U84" s="5">
        <f t="shared" si="60"/>
        <v>3</v>
      </c>
      <c r="V84" s="12">
        <f t="shared" si="43"/>
        <v>-17</v>
      </c>
      <c r="W84" s="12">
        <f t="shared" si="44"/>
        <v>-23</v>
      </c>
      <c r="X84" s="3">
        <f t="shared" si="45"/>
        <v>-6.8999999999999995</v>
      </c>
      <c r="Y84" s="4">
        <f>2-3.5</f>
        <v>-1.5</v>
      </c>
      <c r="Z84" s="4">
        <f>1.5-4</f>
        <v>-2.5</v>
      </c>
      <c r="AA84" s="4">
        <f>3-8</f>
        <v>-5</v>
      </c>
      <c r="AB84" s="10">
        <f t="shared" si="46"/>
        <v>-15.899999999999999</v>
      </c>
    </row>
    <row r="85" spans="2:28" x14ac:dyDescent="0.3">
      <c r="B85" t="str">
        <f t="shared" si="37"/>
        <v>Mike Flynn</v>
      </c>
      <c r="C85" s="5">
        <f t="shared" ref="C85:K85" si="61">+C49+C67</f>
        <v>-4</v>
      </c>
      <c r="D85" s="5">
        <f t="shared" si="61"/>
        <v>4</v>
      </c>
      <c r="E85" s="5">
        <f t="shared" si="61"/>
        <v>5</v>
      </c>
      <c r="F85" s="5">
        <f t="shared" si="61"/>
        <v>3</v>
      </c>
      <c r="G85" s="5">
        <f t="shared" si="61"/>
        <v>0</v>
      </c>
      <c r="H85" s="5">
        <f t="shared" si="61"/>
        <v>8</v>
      </c>
      <c r="I85" s="5">
        <f t="shared" si="61"/>
        <v>-1</v>
      </c>
      <c r="J85" s="5">
        <f t="shared" si="61"/>
        <v>-5</v>
      </c>
      <c r="K85" s="5">
        <f t="shared" si="61"/>
        <v>0</v>
      </c>
      <c r="L85" s="12">
        <f t="shared" si="39"/>
        <v>10</v>
      </c>
      <c r="M85" s="5">
        <f t="shared" ref="M85:U85" si="62">+M49+M67</f>
        <v>-5</v>
      </c>
      <c r="N85" s="5">
        <f t="shared" si="62"/>
        <v>-5</v>
      </c>
      <c r="O85" s="5">
        <f t="shared" si="62"/>
        <v>4</v>
      </c>
      <c r="P85" s="5">
        <f t="shared" si="62"/>
        <v>2</v>
      </c>
      <c r="Q85" s="5">
        <f t="shared" si="62"/>
        <v>8</v>
      </c>
      <c r="R85" s="5">
        <f t="shared" si="62"/>
        <v>4</v>
      </c>
      <c r="S85" s="5">
        <f t="shared" si="62"/>
        <v>0</v>
      </c>
      <c r="T85" s="5">
        <f t="shared" si="62"/>
        <v>-7</v>
      </c>
      <c r="U85" s="5">
        <f t="shared" si="62"/>
        <v>3</v>
      </c>
      <c r="V85" s="12">
        <f t="shared" si="43"/>
        <v>4</v>
      </c>
      <c r="W85" s="12">
        <f t="shared" si="44"/>
        <v>14</v>
      </c>
      <c r="X85" s="3">
        <f t="shared" si="45"/>
        <v>4.2</v>
      </c>
      <c r="Y85" s="4">
        <v>5</v>
      </c>
      <c r="Z85" s="4">
        <f>2-3</f>
        <v>-1</v>
      </c>
      <c r="AA85" s="4">
        <f>9-2</f>
        <v>7</v>
      </c>
      <c r="AB85" s="10">
        <f t="shared" si="46"/>
        <v>15.2</v>
      </c>
    </row>
    <row r="86" spans="2:28" x14ac:dyDescent="0.3">
      <c r="B86" t="str">
        <f t="shared" si="37"/>
        <v>Kevin Fitzgerald</v>
      </c>
      <c r="C86" s="5">
        <f t="shared" ref="C86:K86" si="63">+C50+C68</f>
        <v>-15</v>
      </c>
      <c r="D86" s="5">
        <f t="shared" si="63"/>
        <v>-7</v>
      </c>
      <c r="E86" s="5">
        <f t="shared" si="63"/>
        <v>-4</v>
      </c>
      <c r="F86" s="5">
        <f t="shared" si="63"/>
        <v>-6</v>
      </c>
      <c r="G86" s="5">
        <f t="shared" si="63"/>
        <v>0</v>
      </c>
      <c r="H86" s="5">
        <f t="shared" si="63"/>
        <v>-5</v>
      </c>
      <c r="I86" s="5">
        <f t="shared" si="63"/>
        <v>-1</v>
      </c>
      <c r="J86" s="5">
        <f t="shared" si="63"/>
        <v>6</v>
      </c>
      <c r="K86" s="5">
        <f t="shared" si="63"/>
        <v>0</v>
      </c>
      <c r="L86" s="12">
        <f t="shared" si="39"/>
        <v>-32</v>
      </c>
      <c r="M86" s="5">
        <f t="shared" ref="M86:U86" si="64">+M50+M68</f>
        <v>5</v>
      </c>
      <c r="N86" s="5">
        <f t="shared" si="64"/>
        <v>5</v>
      </c>
      <c r="O86" s="5">
        <f t="shared" si="64"/>
        <v>10</v>
      </c>
      <c r="P86" s="5">
        <f t="shared" si="64"/>
        <v>2</v>
      </c>
      <c r="Q86" s="5">
        <f t="shared" si="64"/>
        <v>8</v>
      </c>
      <c r="R86" s="5">
        <f t="shared" si="64"/>
        <v>-10</v>
      </c>
      <c r="S86" s="5">
        <f t="shared" si="64"/>
        <v>0</v>
      </c>
      <c r="T86" s="5">
        <f t="shared" si="64"/>
        <v>9</v>
      </c>
      <c r="U86" s="5">
        <f t="shared" si="64"/>
        <v>-11</v>
      </c>
      <c r="V86" s="12">
        <f t="shared" si="43"/>
        <v>18</v>
      </c>
      <c r="W86" s="12">
        <f t="shared" si="44"/>
        <v>-14</v>
      </c>
      <c r="X86" s="3">
        <f t="shared" si="45"/>
        <v>-4.2</v>
      </c>
      <c r="Y86" s="4">
        <f>1-4</f>
        <v>-3</v>
      </c>
      <c r="Z86" s="4">
        <f>+Z85</f>
        <v>-1</v>
      </c>
      <c r="AA86" s="4">
        <f>+AA81</f>
        <v>-2</v>
      </c>
      <c r="AB86" s="10">
        <f t="shared" si="46"/>
        <v>-10.199999999999999</v>
      </c>
    </row>
    <row r="87" spans="2:28" x14ac:dyDescent="0.3">
      <c r="B87" t="str">
        <f t="shared" si="37"/>
        <v>Richard McGovern</v>
      </c>
      <c r="C87" s="5">
        <f t="shared" ref="C87:K87" si="65">+C51+C69</f>
        <v>-4</v>
      </c>
      <c r="D87" s="5">
        <f t="shared" si="65"/>
        <v>-7</v>
      </c>
      <c r="E87" s="5">
        <f t="shared" si="65"/>
        <v>11</v>
      </c>
      <c r="F87" s="5">
        <f t="shared" si="65"/>
        <v>3</v>
      </c>
      <c r="G87" s="5">
        <f t="shared" si="65"/>
        <v>0</v>
      </c>
      <c r="H87" s="5">
        <f t="shared" si="65"/>
        <v>8</v>
      </c>
      <c r="I87" s="5">
        <f t="shared" si="65"/>
        <v>9</v>
      </c>
      <c r="J87" s="5">
        <f t="shared" si="65"/>
        <v>-11</v>
      </c>
      <c r="K87" s="5">
        <f t="shared" si="65"/>
        <v>0</v>
      </c>
      <c r="L87" s="12">
        <f t="shared" si="39"/>
        <v>9</v>
      </c>
      <c r="M87" s="5">
        <f t="shared" ref="M87:U87" si="66">+M51+M69</f>
        <v>-5</v>
      </c>
      <c r="N87" s="5">
        <f t="shared" si="66"/>
        <v>-5</v>
      </c>
      <c r="O87" s="5">
        <f t="shared" si="66"/>
        <v>-5</v>
      </c>
      <c r="P87" s="5">
        <f t="shared" si="66"/>
        <v>-10</v>
      </c>
      <c r="Q87" s="5">
        <f t="shared" si="66"/>
        <v>-2</v>
      </c>
      <c r="R87" s="5">
        <f t="shared" si="66"/>
        <v>-9</v>
      </c>
      <c r="S87" s="5">
        <f t="shared" si="66"/>
        <v>0</v>
      </c>
      <c r="T87" s="5">
        <f t="shared" si="66"/>
        <v>-11</v>
      </c>
      <c r="U87" s="5">
        <f t="shared" si="66"/>
        <v>3</v>
      </c>
      <c r="V87" s="12">
        <f t="shared" si="43"/>
        <v>-44</v>
      </c>
      <c r="W87" s="12">
        <f t="shared" si="44"/>
        <v>-35</v>
      </c>
      <c r="X87" s="3">
        <f t="shared" si="45"/>
        <v>-10.5</v>
      </c>
      <c r="Y87" s="4">
        <f>-1+4.5</f>
        <v>3.5</v>
      </c>
      <c r="Z87" s="4">
        <f>0.5-5</f>
        <v>-4.5</v>
      </c>
      <c r="AA87" s="4">
        <f>2-9</f>
        <v>-7</v>
      </c>
      <c r="AB87" s="10">
        <f t="shared" si="46"/>
        <v>-18.5</v>
      </c>
    </row>
    <row r="88" spans="2:28" x14ac:dyDescent="0.3">
      <c r="B88" t="str">
        <f t="shared" si="37"/>
        <v>Richie Payne</v>
      </c>
      <c r="C88" s="5">
        <f t="shared" ref="C88:K88" si="67">+C52+C70</f>
        <v>-11</v>
      </c>
      <c r="D88" s="5">
        <f t="shared" si="67"/>
        <v>14</v>
      </c>
      <c r="E88" s="5">
        <f t="shared" si="67"/>
        <v>9</v>
      </c>
      <c r="F88" s="5">
        <f t="shared" si="67"/>
        <v>2</v>
      </c>
      <c r="G88" s="5">
        <f t="shared" si="67"/>
        <v>2</v>
      </c>
      <c r="H88" s="5">
        <f t="shared" si="67"/>
        <v>0</v>
      </c>
      <c r="I88" s="5">
        <f t="shared" si="67"/>
        <v>0</v>
      </c>
      <c r="J88" s="5">
        <f t="shared" si="67"/>
        <v>0</v>
      </c>
      <c r="K88" s="5">
        <f t="shared" si="67"/>
        <v>0</v>
      </c>
      <c r="L88" s="12">
        <f>SUM(C88:K88)</f>
        <v>16</v>
      </c>
      <c r="M88" s="5">
        <f t="shared" ref="M88:U88" si="68">+M52+M70</f>
        <v>0</v>
      </c>
      <c r="N88" s="5">
        <f t="shared" si="68"/>
        <v>0</v>
      </c>
      <c r="O88" s="5">
        <f t="shared" si="68"/>
        <v>0</v>
      </c>
      <c r="P88" s="5">
        <f t="shared" si="68"/>
        <v>0</v>
      </c>
      <c r="Q88" s="5">
        <f t="shared" si="68"/>
        <v>0</v>
      </c>
      <c r="R88" s="5">
        <f t="shared" si="68"/>
        <v>0</v>
      </c>
      <c r="S88" s="5">
        <f t="shared" si="68"/>
        <v>0</v>
      </c>
      <c r="T88" s="5">
        <f t="shared" si="68"/>
        <v>0</v>
      </c>
      <c r="U88" s="5">
        <f t="shared" si="68"/>
        <v>0</v>
      </c>
      <c r="V88" s="12">
        <f>SUM(M88:U88)</f>
        <v>0</v>
      </c>
      <c r="W88" s="12">
        <f t="shared" si="44"/>
        <v>16</v>
      </c>
      <c r="X88" s="3">
        <f t="shared" si="45"/>
        <v>4.8</v>
      </c>
      <c r="Y88" s="4"/>
      <c r="Z88" s="4"/>
      <c r="AA88" s="4"/>
      <c r="AB88" s="10">
        <f t="shared" si="46"/>
        <v>4.8</v>
      </c>
    </row>
    <row r="89" spans="2:28" x14ac:dyDescent="0.3">
      <c r="B89" t="str">
        <f t="shared" si="37"/>
        <v>Ed Cox</v>
      </c>
      <c r="C89" s="5">
        <f t="shared" ref="C89:K89" si="69">+C53+C71</f>
        <v>-11</v>
      </c>
      <c r="D89" s="5">
        <f t="shared" si="69"/>
        <v>15</v>
      </c>
      <c r="E89" s="5">
        <f t="shared" si="69"/>
        <v>0</v>
      </c>
      <c r="F89" s="5">
        <f t="shared" si="69"/>
        <v>2</v>
      </c>
      <c r="G89" s="5">
        <f t="shared" si="69"/>
        <v>2</v>
      </c>
      <c r="H89" s="5">
        <f t="shared" si="69"/>
        <v>0</v>
      </c>
      <c r="I89" s="5">
        <f t="shared" si="69"/>
        <v>0</v>
      </c>
      <c r="J89" s="5">
        <f t="shared" si="69"/>
        <v>0</v>
      </c>
      <c r="K89" s="5">
        <f t="shared" si="69"/>
        <v>0</v>
      </c>
      <c r="L89" s="12">
        <f>SUM(C89:K89)</f>
        <v>8</v>
      </c>
      <c r="M89" s="5">
        <f t="shared" ref="M89:U89" si="70">+M53+M71</f>
        <v>0</v>
      </c>
      <c r="N89" s="5">
        <f t="shared" si="70"/>
        <v>0</v>
      </c>
      <c r="O89" s="5">
        <f t="shared" si="70"/>
        <v>0</v>
      </c>
      <c r="P89" s="5">
        <f t="shared" si="70"/>
        <v>0</v>
      </c>
      <c r="Q89" s="5">
        <f t="shared" si="70"/>
        <v>0</v>
      </c>
      <c r="R89" s="5">
        <f t="shared" si="70"/>
        <v>0</v>
      </c>
      <c r="S89" s="5">
        <f t="shared" si="70"/>
        <v>0</v>
      </c>
      <c r="T89" s="5">
        <f t="shared" si="70"/>
        <v>0</v>
      </c>
      <c r="U89" s="5">
        <f t="shared" si="70"/>
        <v>0</v>
      </c>
      <c r="V89" s="12">
        <f>SUM(M89:U89)</f>
        <v>0</v>
      </c>
      <c r="W89" s="12">
        <f t="shared" si="44"/>
        <v>8</v>
      </c>
      <c r="X89" s="3">
        <f t="shared" si="45"/>
        <v>2.4</v>
      </c>
      <c r="Y89" s="4"/>
      <c r="Z89" s="4"/>
      <c r="AA89" s="4"/>
      <c r="AB89" s="10">
        <f t="shared" si="46"/>
        <v>2.4</v>
      </c>
    </row>
    <row r="90" spans="2:28" x14ac:dyDescent="0.3">
      <c r="B90" t="str">
        <f t="shared" si="37"/>
        <v>Jack Sullivan</v>
      </c>
      <c r="C90" s="5">
        <f t="shared" ref="C90:K90" si="71">+C54+C72</f>
        <v>-11</v>
      </c>
      <c r="D90" s="5">
        <f t="shared" si="71"/>
        <v>1</v>
      </c>
      <c r="E90" s="5">
        <f t="shared" si="71"/>
        <v>3</v>
      </c>
      <c r="F90" s="5">
        <f t="shared" si="71"/>
        <v>2</v>
      </c>
      <c r="G90" s="5">
        <f t="shared" si="71"/>
        <v>0</v>
      </c>
      <c r="H90" s="5">
        <f t="shared" si="71"/>
        <v>0</v>
      </c>
      <c r="I90" s="5">
        <f t="shared" si="71"/>
        <v>0</v>
      </c>
      <c r="J90" s="5">
        <f t="shared" si="71"/>
        <v>0</v>
      </c>
      <c r="K90" s="5">
        <f t="shared" si="71"/>
        <v>0</v>
      </c>
      <c r="L90" s="12">
        <f>SUM(C90:K90)</f>
        <v>-5</v>
      </c>
      <c r="M90" s="5">
        <f t="shared" ref="M90:U90" si="72">+M54+M72</f>
        <v>0</v>
      </c>
      <c r="N90" s="5">
        <f t="shared" si="72"/>
        <v>0</v>
      </c>
      <c r="O90" s="5">
        <f t="shared" si="72"/>
        <v>0</v>
      </c>
      <c r="P90" s="5">
        <f t="shared" si="72"/>
        <v>0</v>
      </c>
      <c r="Q90" s="5">
        <f t="shared" si="72"/>
        <v>0</v>
      </c>
      <c r="R90" s="5">
        <f t="shared" si="72"/>
        <v>0</v>
      </c>
      <c r="S90" s="5">
        <f t="shared" si="72"/>
        <v>0</v>
      </c>
      <c r="T90" s="5">
        <f t="shared" si="72"/>
        <v>0</v>
      </c>
      <c r="U90" s="5">
        <f t="shared" si="72"/>
        <v>0</v>
      </c>
      <c r="V90" s="12">
        <f>SUM(M90:U90)</f>
        <v>0</v>
      </c>
      <c r="W90" s="12">
        <f t="shared" si="44"/>
        <v>-5</v>
      </c>
      <c r="X90" s="3">
        <f t="shared" si="45"/>
        <v>-1.5</v>
      </c>
      <c r="Y90" s="4"/>
      <c r="Z90" s="4"/>
      <c r="AA90" s="4"/>
      <c r="AB90" s="10">
        <f t="shared" si="46"/>
        <v>-1.5</v>
      </c>
    </row>
    <row r="91" spans="2:28" x14ac:dyDescent="0.3">
      <c r="C91" s="9">
        <f t="shared" ref="C91:AB91" si="73">SUM(C75:C90)</f>
        <v>17</v>
      </c>
      <c r="D91" s="9">
        <f t="shared" si="73"/>
        <v>36</v>
      </c>
      <c r="E91" s="9">
        <f t="shared" si="73"/>
        <v>18</v>
      </c>
      <c r="F91" s="9">
        <f t="shared" si="73"/>
        <v>11</v>
      </c>
      <c r="G91" s="9">
        <f t="shared" si="73"/>
        <v>6</v>
      </c>
      <c r="H91" s="9">
        <f t="shared" si="73"/>
        <v>2</v>
      </c>
      <c r="I91" s="9">
        <f t="shared" si="73"/>
        <v>9</v>
      </c>
      <c r="J91" s="9">
        <f t="shared" si="73"/>
        <v>1</v>
      </c>
      <c r="K91" s="9">
        <f t="shared" si="73"/>
        <v>2</v>
      </c>
      <c r="L91" s="12">
        <f t="shared" si="73"/>
        <v>102</v>
      </c>
      <c r="M91" s="9">
        <f t="shared" si="73"/>
        <v>1</v>
      </c>
      <c r="N91" s="9">
        <f t="shared" si="73"/>
        <v>6</v>
      </c>
      <c r="O91" s="9">
        <f t="shared" si="73"/>
        <v>6</v>
      </c>
      <c r="P91" s="9">
        <f t="shared" si="73"/>
        <v>2</v>
      </c>
      <c r="Q91" s="9">
        <f t="shared" si="73"/>
        <v>0</v>
      </c>
      <c r="R91" s="9">
        <f t="shared" si="73"/>
        <v>8</v>
      </c>
      <c r="S91" s="9">
        <f t="shared" si="73"/>
        <v>2</v>
      </c>
      <c r="T91" s="9">
        <f t="shared" si="73"/>
        <v>4</v>
      </c>
      <c r="U91" s="9">
        <f t="shared" si="73"/>
        <v>4</v>
      </c>
      <c r="V91" s="12">
        <f t="shared" si="73"/>
        <v>33</v>
      </c>
      <c r="W91" s="12">
        <f t="shared" si="73"/>
        <v>135</v>
      </c>
      <c r="X91" s="9">
        <f t="shared" si="73"/>
        <v>40.5</v>
      </c>
      <c r="Y91" s="9">
        <f t="shared" si="73"/>
        <v>2</v>
      </c>
      <c r="Z91" s="9">
        <f t="shared" si="73"/>
        <v>2</v>
      </c>
      <c r="AA91" s="9">
        <f t="shared" si="73"/>
        <v>11</v>
      </c>
      <c r="AB91" s="9">
        <f t="shared" si="73"/>
        <v>16.199999999999989</v>
      </c>
    </row>
    <row r="92" spans="2:28" x14ac:dyDescent="0.3">
      <c r="Z9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"/>
  <sheetViews>
    <sheetView workbookViewId="0">
      <selection activeCell="C5" sqref="C5"/>
    </sheetView>
  </sheetViews>
  <sheetFormatPr defaultRowHeight="14.4" x14ac:dyDescent="0.3"/>
  <sheetData>
    <row r="3" spans="2:3" x14ac:dyDescent="0.3">
      <c r="B3" s="15">
        <v>0.5</v>
      </c>
      <c r="C3" t="s">
        <v>25</v>
      </c>
    </row>
    <row r="4" spans="2:3" x14ac:dyDescent="0.3">
      <c r="B4" s="15">
        <v>1</v>
      </c>
      <c r="C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 1</vt:lpstr>
      <vt:lpstr>2021 day 2</vt:lpstr>
      <vt:lpstr>2021 day 3</vt:lpstr>
      <vt:lpstr>Sheet2</vt:lpstr>
      <vt:lpstr>Sheet1</vt:lpstr>
      <vt:lpstr>day 2</vt:lpstr>
      <vt:lpstr>day 3</vt:lpstr>
      <vt:lpstr>Rules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O'Hair</dc:creator>
  <cp:lastModifiedBy>James O'Hair</cp:lastModifiedBy>
  <dcterms:created xsi:type="dcterms:W3CDTF">2018-09-09T00:51:46Z</dcterms:created>
  <dcterms:modified xsi:type="dcterms:W3CDTF">2021-09-12T17:41:18Z</dcterms:modified>
</cp:coreProperties>
</file>